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d\Downloads\"/>
    </mc:Choice>
  </mc:AlternateContent>
  <xr:revisionPtr revIDLastSave="0" documentId="8_{B6550291-EF25-4C7D-A7B3-ECDE66FEE2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<sst xmlns="http://schemas.openxmlformats.org/spreadsheetml/2006/main" count="64" uniqueCount="55">
  <si>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</si>
  <si>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</si>
  <si>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</si>
  <si>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</si>
  <si>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</si>
  <si>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</si>
  <si>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</si>
  <si>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</si>
  <si>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</si>
  <si>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</si>
  <si>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</si>
  <si>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</si>
  <si>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</si>
  <si>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</si>
  <si>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</si>
  <si>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</si>
  <si>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</si>
  <si>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</si>
  <si>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</si>
  <si>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</si>
  <si>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</si>
  <si>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</si>
  <si>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</si>
  <si>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</si>
  <si>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</si>
  <si>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</si>
  <si>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</si>
  <si>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</si>
  <si>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</si>
  <si>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</si>
  <si>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</si>
  <si>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REQ003</t>
  </si>
  <si>
    <t>REQ004</t>
  </si>
  <si>
    <t>REQ009</t>
  </si>
  <si>
    <t>El cliente no tiene un respaldo fisico o digital automatico de su pedido una vez que termina la compra.</t>
  </si>
  <si>
    <t>Configurar el envio automatico del comprobante de pedido por correo electrónico.</t>
  </si>
  <si>
    <t>Para que el cliente reciba en su bandeja de entrada un resumen de sus compras los datos de la entrega.</t>
  </si>
  <si>
    <t>Se debera conectar el formulario con un servicio de correos luego se  creara  la plantilla para llenar los datos para del email con el resumen del pedido y se  prrogramar el envio automatico al finalizar el proceso.</t>
  </si>
  <si>
    <t>Envio de comprobante por correo</t>
  </si>
  <si>
    <t>Crear una sección de ofertas llamativa para la página principal</t>
  </si>
  <si>
    <t>El cliente no puede ver las promociones actuales antes de comprar, lo que reduce las oportunidades de venta</t>
  </si>
  <si>
    <t>Para captar la atencion del cliente con descuentos y llevarlo a la parte del producto en promocion</t>
  </si>
  <si>
    <t>Clientes del emprendimiento</t>
  </si>
  <si>
    <t>Clientes interesados en promociones</t>
  </si>
  <si>
    <t>Diego Mosquera</t>
  </si>
  <si>
    <t xml:space="preserve">24 horas </t>
  </si>
  <si>
    <t xml:space="preserve">por Definir </t>
  </si>
  <si>
    <t xml:space="preserve">Se desarrollara un panel para subir imagenes de ofertas disponible y que se dirijan a la seccion de descuentos </t>
  </si>
  <si>
    <t>Entrar al sitio para ver si se cargan correctamenta las imágenes y apastar sobre algun producto para comprobar si funcionan los enlaces</t>
  </si>
  <si>
    <t>Despues de llenar los datos y generar el comprobante se  revisa que llegue un correo al email ingresado con toda la informacion correcta</t>
  </si>
  <si>
    <t>Ver si no se suben ofertas repertidas</t>
  </si>
  <si>
    <t>Seccion para promociones</t>
  </si>
  <si>
    <t>Stephani Rivera</t>
  </si>
  <si>
    <t>10 horas</t>
  </si>
  <si>
    <t>Ver que no repitan los corres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</si>
</sst>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vertical="center"/>
    </xf>
    <xf numFmtId="0" fontId="3" fillId="3" borderId="6" xfId="0" applyFont="1" applyFill="1" applyBorder="1"/>
    <xf numFmtId="0" fontId="14" fillId="5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14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21" xfId="0" applyFont="1" applyFill="1" applyBorder="1"/>
    <xf numFmtId="0" fontId="3" fillId="3" borderId="22" xfId="0" applyFont="1" applyFill="1" applyBorder="1"/>
    <xf numFmtId="0" fontId="3" fillId="3" borderId="23" xfId="0" applyFont="1" applyFill="1" applyBorder="1"/>
    <xf numFmtId="0" fontId="3" fillId="3" borderId="8" xfId="0" applyFont="1" applyFill="1" applyBorder="1"/>
    <xf numFmtId="0" fontId="9" fillId="3" borderId="10" xfId="0" applyFont="1" applyFill="1" applyBorder="1" applyAlignment="1">
      <alignment horizontal="left" vertical="center" wrapText="1"/>
    </xf>
    <xf numFmtId="0" fontId="2" fillId="3" borderId="10" xfId="0" applyFont="1" applyFill="1" applyBorder="1"/>
    <xf numFmtId="0" fontId="3" fillId="3" borderId="10" xfId="0" applyFont="1" applyFill="1" applyBorder="1"/>
    <xf numFmtId="0" fontId="3" fillId="3" borderId="9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 wrapText="1"/>
    </xf>
    <xf numFmtId="0" fontId="15" fillId="0" borderId="24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12" fillId="6" borderId="7" xfId="0" applyFont="1" applyFill="1" applyBorder="1" applyAlignment="1">
      <alignment horizontal="center" vertical="center"/>
    </xf>
    <xf numFmtId="0" fontId="11" fillId="0" borderId="11" xfId="0" applyFont="1" applyBorder="1"/>
    <xf numFmtId="0" fontId="11" fillId="0" borderId="14" xfId="0" applyFont="1" applyBorder="1"/>
    <xf numFmtId="0" fontId="21" fillId="7" borderId="8" xfId="0" applyFont="1" applyFill="1" applyBorder="1" applyAlignment="1">
      <alignment horizontal="center" vertical="center"/>
    </xf>
    <xf numFmtId="0" fontId="11" fillId="0" borderId="9" xfId="0" applyFont="1" applyBorder="1"/>
    <xf numFmtId="0" fontId="11" fillId="0" borderId="21" xfId="0" applyFont="1" applyBorder="1"/>
    <xf numFmtId="0" fontId="11" fillId="0" borderId="23" xfId="0" applyFont="1" applyBorder="1"/>
    <xf numFmtId="0" fontId="12" fillId="4" borderId="8" xfId="0" applyFont="1" applyFill="1" applyBorder="1" applyAlignment="1">
      <alignment horizontal="center" vertical="center"/>
    </xf>
    <xf numFmtId="0" fontId="11" fillId="0" borderId="12" xfId="0" applyFont="1" applyBorder="1"/>
    <xf numFmtId="0" fontId="11" fillId="0" borderId="13" xfId="0" applyFont="1" applyBorder="1"/>
    <xf numFmtId="0" fontId="2" fillId="5" borderId="8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1" fillId="0" borderId="13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0" fillId="3" borderId="3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11" fillId="0" borderId="5" xfId="0" applyFont="1" applyBorder="1"/>
    <xf numFmtId="0" fontId="1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wrapText="1"/>
    </xf>
    <xf numFmtId="0" fontId="2" fillId="5" borderId="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11" fillId="0" borderId="10" xfId="0" applyFont="1" applyBorder="1"/>
    <xf numFmtId="0" fontId="11" fillId="0" borderId="22" xfId="0" applyFont="1" applyBorder="1"/>
    <xf numFmtId="0" fontId="22" fillId="6" borderId="7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wrapText="1"/>
    </xf>
    <xf numFmtId="0" fontId="20" fillId="0" borderId="9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17" fillId="0" borderId="0" xfId="0" applyFont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21" xfId="0" applyFont="1" applyBorder="1" applyAlignment="1">
      <alignment wrapText="1"/>
    </xf>
    <xf numFmtId="0" fontId="20" fillId="0" borderId="22" xfId="0" applyFont="1" applyBorder="1" applyAlignment="1">
      <alignment wrapText="1"/>
    </xf>
    <xf numFmtId="0" fontId="20" fillId="0" borderId="23" xfId="0" applyFont="1" applyBorder="1" applyAlignment="1">
      <alignment wrapText="1"/>
    </xf>
    <xf numFmtId="0" fontId="19" fillId="2" borderId="15" xfId="0" applyFont="1" applyFill="1" applyBorder="1" applyAlignment="1">
      <alignment horizontal="center" vertical="center"/>
    </xf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0" fillId="0" borderId="24" xfId="0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999"/>
  <sheetViews>
    <sheetView showGridLines="0" tabSelected="1" zoomScale="80" zoomScaleNormal="80" workbookViewId="0">
      <selection activeCell="B3" sqref="B3:O3"/>
    </sheetView>
  </sheetViews>
  <sheetFormatPr baseColWidth="10" defaultColWidth="12.625" defaultRowHeight="15" customHeight="1" x14ac:dyDescent="0.2"/>
  <cols>
    <col min="1" max="1" width="2" customWidth="1"/>
    <col min="2" max="2" width="8" bestFit="1" customWidth="1"/>
    <col min="3" max="5" width="20.625" customWidth="1"/>
    <col min="6" max="6" width="15" customWidth="1"/>
    <col min="7" max="7" width="28.5" customWidth="1"/>
    <col min="8" max="12" width="10.625" customWidth="1"/>
    <col min="13" max="15" width="20.625" customWidth="1"/>
    <col min="16" max="26" width="9.25" customWidth="1"/>
  </cols>
  <sheetData>
    <row r="1" spans="2:15" x14ac:dyDescent="0.25">
      <c r="I1" s="1"/>
      <c r="J1" s="1"/>
      <c r="K1" s="2"/>
      <c r="L1" s="3"/>
    </row>
    <row r="2" spans="2:15" x14ac:dyDescent="0.25">
      <c r="I2" s="1"/>
      <c r="J2" s="1"/>
      <c r="K2" s="2"/>
      <c r="L2" s="3"/>
    </row>
    <row r="3" spans="2:15" ht="45" customHeight="1" x14ac:dyDescent="0.2"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2:15" x14ac:dyDescent="0.25">
      <c r="H4" s="4"/>
      <c r="I4" s="1"/>
      <c r="J4" s="1"/>
      <c r="K4" s="2"/>
      <c r="L4" s="3"/>
    </row>
    <row r="5" spans="2:15" ht="39.75" customHeight="1" x14ac:dyDescent="0.2">
      <c r="B5" s="5" t="s">
        <v>1</v>
      </c>
      <c r="C5" s="5" t="s">
        <v>2</v>
      </c>
      <c r="D5" s="3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5" ht="102.75" customHeight="1" x14ac:dyDescent="0.2">
      <c r="B6" s="41" t="s">
        <v>31</v>
      </c>
      <c r="C6" s="97" t="s">
        <v>34</v>
      </c>
      <c r="D6" s="97" t="s">
        <v>35</v>
      </c>
      <c r="E6" s="97" t="s">
        <v>36</v>
      </c>
      <c r="F6" s="98" t="s">
        <v>42</v>
      </c>
      <c r="G6" s="98" t="s">
        <v>37</v>
      </c>
      <c r="H6" s="36" t="s">
        <v>52</v>
      </c>
      <c r="I6" s="36" t="s">
        <v>53</v>
      </c>
      <c r="J6" s="42" t="s">
        <v>46</v>
      </c>
      <c r="K6" s="34" t="s">
        <v>17</v>
      </c>
      <c r="L6" s="34" t="s">
        <v>16</v>
      </c>
      <c r="M6" s="98" t="s">
        <v>49</v>
      </c>
      <c r="N6" s="36" t="s">
        <v>54</v>
      </c>
      <c r="O6" s="36" t="s">
        <v>38</v>
      </c>
    </row>
    <row r="7" spans="2:15" ht="99.75" x14ac:dyDescent="0.2">
      <c r="B7" s="41" t="s">
        <v>32</v>
      </c>
      <c r="C7" s="98" t="s">
        <v>40</v>
      </c>
      <c r="D7" s="98" t="s">
        <v>39</v>
      </c>
      <c r="E7" s="98" t="s">
        <v>41</v>
      </c>
      <c r="F7" s="98" t="s">
        <v>43</v>
      </c>
      <c r="G7" s="98" t="s">
        <v>47</v>
      </c>
      <c r="H7" s="36" t="s">
        <v>44</v>
      </c>
      <c r="I7" s="41" t="s">
        <v>45</v>
      </c>
      <c r="J7" s="41" t="s">
        <v>46</v>
      </c>
      <c r="K7" s="34" t="s">
        <v>19</v>
      </c>
      <c r="L7" s="36" t="s">
        <v>16</v>
      </c>
      <c r="M7" s="98" t="s">
        <v>48</v>
      </c>
      <c r="N7" s="36" t="s">
        <v>50</v>
      </c>
      <c r="O7" s="36" t="s">
        <v>51</v>
      </c>
    </row>
    <row r="8" spans="2:15" ht="114" customHeight="1" x14ac:dyDescent="0.2">
      <c r="E8" s="38"/>
    </row>
    <row r="9" spans="2:15" ht="14.25" x14ac:dyDescent="0.2">
      <c r="B9" s="37"/>
      <c r="C9" s="38"/>
      <c r="D9" s="38"/>
      <c r="E9" s="29"/>
      <c r="F9" s="38"/>
      <c r="G9" s="38"/>
      <c r="H9" s="38"/>
      <c r="I9" s="38"/>
      <c r="J9" s="39"/>
      <c r="K9" s="38"/>
      <c r="L9" s="38"/>
      <c r="M9" s="40"/>
      <c r="N9" s="40"/>
      <c r="O9" s="38"/>
    </row>
    <row r="10" spans="2:15" ht="39.75" customHeight="1" x14ac:dyDescent="0.2">
      <c r="B10" s="28"/>
      <c r="C10" s="29"/>
      <c r="D10" s="29"/>
      <c r="E10" s="29"/>
      <c r="F10" s="29"/>
      <c r="G10" s="29"/>
      <c r="H10" s="29"/>
      <c r="I10" s="30"/>
      <c r="J10" s="31"/>
      <c r="K10" s="30"/>
      <c r="L10" s="32"/>
      <c r="M10" s="33"/>
      <c r="N10" s="31"/>
      <c r="O10" s="29"/>
    </row>
    <row r="11" spans="2:15" ht="39.75" customHeight="1" x14ac:dyDescent="0.2">
      <c r="B11" s="28"/>
      <c r="C11" s="29"/>
      <c r="D11" s="29"/>
      <c r="E11" s="29"/>
      <c r="F11" s="29"/>
      <c r="G11" s="29"/>
      <c r="H11" s="29"/>
      <c r="I11" s="30"/>
      <c r="J11" s="31"/>
      <c r="K11" s="30"/>
      <c r="L11" s="30"/>
      <c r="M11" s="31"/>
      <c r="N11" s="31"/>
      <c r="O11" s="31"/>
    </row>
    <row r="12" spans="2:15" ht="39.75" customHeight="1" x14ac:dyDescent="0.2">
      <c r="B12" s="28"/>
      <c r="C12" s="29"/>
      <c r="D12" s="29"/>
      <c r="E12" s="29"/>
      <c r="F12" s="29"/>
      <c r="G12" s="29"/>
      <c r="H12" s="29"/>
      <c r="I12" s="30"/>
      <c r="J12" s="31"/>
      <c r="K12" s="30"/>
      <c r="L12" s="30"/>
      <c r="M12" s="29"/>
      <c r="N12" s="29"/>
      <c r="O12" s="29"/>
    </row>
    <row r="13" spans="2:15" ht="39.75" customHeight="1" x14ac:dyDescent="0.2">
      <c r="B13" s="28"/>
      <c r="C13" s="29"/>
      <c r="D13" s="29"/>
      <c r="E13" s="29"/>
      <c r="F13" s="29"/>
      <c r="G13" s="29"/>
      <c r="H13" s="29"/>
      <c r="I13" s="30"/>
      <c r="J13" s="31"/>
      <c r="K13" s="30"/>
      <c r="L13" s="30"/>
      <c r="M13" s="29"/>
      <c r="N13" s="29"/>
      <c r="O13" s="29"/>
    </row>
    <row r="14" spans="2:15" ht="39.75" customHeight="1" x14ac:dyDescent="0.2">
      <c r="B14" s="28"/>
      <c r="C14" s="29"/>
      <c r="D14" s="29"/>
      <c r="E14" s="29"/>
      <c r="F14" s="29"/>
      <c r="G14" s="29"/>
      <c r="H14" s="29"/>
      <c r="I14" s="30"/>
      <c r="J14" s="31"/>
      <c r="K14" s="30"/>
      <c r="L14" s="30"/>
      <c r="M14" s="29"/>
      <c r="N14" s="29"/>
      <c r="O14" s="29"/>
    </row>
    <row r="15" spans="2:15" ht="39.75" customHeight="1" x14ac:dyDescent="0.2">
      <c r="B15" s="28"/>
      <c r="C15" s="29"/>
      <c r="D15" s="29"/>
      <c r="E15" s="29"/>
      <c r="F15" s="29"/>
      <c r="G15" s="29"/>
      <c r="H15" s="29"/>
      <c r="I15" s="30"/>
      <c r="J15" s="31"/>
      <c r="K15" s="30"/>
      <c r="L15" s="30"/>
      <c r="M15" s="29"/>
      <c r="N15" s="29"/>
      <c r="O15" s="29"/>
    </row>
    <row r="16" spans="2:15" ht="39.75" customHeight="1" x14ac:dyDescent="0.2">
      <c r="B16" s="28"/>
      <c r="C16" s="29"/>
      <c r="D16" s="29"/>
      <c r="E16" s="29"/>
      <c r="F16" s="29"/>
      <c r="G16" s="29"/>
      <c r="H16" s="29"/>
      <c r="I16" s="30"/>
      <c r="J16" s="31"/>
      <c r="K16" s="30"/>
      <c r="L16" s="30"/>
      <c r="M16" s="29"/>
      <c r="N16" s="29"/>
      <c r="O16" s="29"/>
    </row>
    <row r="17" spans="2:15" ht="39.75" customHeight="1" x14ac:dyDescent="0.2">
      <c r="B17" s="28"/>
      <c r="C17" s="29"/>
      <c r="D17" s="29"/>
      <c r="E17" s="29"/>
      <c r="F17" s="29"/>
      <c r="G17" s="29"/>
      <c r="H17" s="29"/>
      <c r="I17" s="30"/>
      <c r="J17" s="31"/>
      <c r="K17" s="30"/>
      <c r="L17" s="30"/>
      <c r="M17" s="29"/>
      <c r="N17" s="29"/>
      <c r="O17" s="29"/>
    </row>
    <row r="18" spans="2:15" ht="19.5" customHeight="1" x14ac:dyDescent="0.2">
      <c r="B18" s="28"/>
      <c r="C18" s="29"/>
      <c r="D18" s="29"/>
      <c r="F18" s="29"/>
      <c r="G18" s="29"/>
      <c r="H18" s="29"/>
      <c r="I18" s="30"/>
      <c r="J18" s="31"/>
      <c r="K18" s="30"/>
      <c r="L18" s="30"/>
      <c r="M18" s="29"/>
      <c r="N18" s="29"/>
      <c r="O18" s="29"/>
    </row>
    <row r="19" spans="2:15" ht="19.5" customHeight="1" x14ac:dyDescent="0.2">
      <c r="I19" s="3"/>
      <c r="J19" s="3"/>
      <c r="K19" s="6"/>
      <c r="L19" s="3"/>
    </row>
    <row r="20" spans="2:15" ht="19.5" customHeight="1" x14ac:dyDescent="0.25">
      <c r="I20" s="1"/>
      <c r="J20" s="1"/>
      <c r="K20" s="2"/>
      <c r="L20" s="3"/>
    </row>
    <row r="21" spans="2:15" ht="19.5" customHeight="1" x14ac:dyDescent="0.25">
      <c r="I21" s="1"/>
      <c r="J21" s="1"/>
      <c r="K21" s="2"/>
      <c r="L21" s="3"/>
    </row>
    <row r="22" spans="2:15" ht="19.5" customHeight="1" x14ac:dyDescent="0.25">
      <c r="I22" s="1"/>
      <c r="J22" s="1"/>
      <c r="K22" s="2"/>
      <c r="L22" s="3"/>
    </row>
    <row r="23" spans="2:15" ht="19.5" customHeight="1" x14ac:dyDescent="0.2">
      <c r="I23" s="1"/>
      <c r="J23" s="1"/>
      <c r="K23" s="7"/>
      <c r="L23" s="3"/>
    </row>
    <row r="24" spans="2:15" ht="19.5" customHeight="1" x14ac:dyDescent="0.2">
      <c r="I24" s="1"/>
      <c r="J24" s="1"/>
      <c r="K24" s="7"/>
      <c r="L24" s="3"/>
    </row>
    <row r="25" spans="2:15" ht="19.5" customHeight="1" x14ac:dyDescent="0.25">
      <c r="I25" s="1"/>
      <c r="J25" s="1"/>
      <c r="K25" s="2"/>
      <c r="L25" s="3"/>
    </row>
    <row r="26" spans="2:15" ht="19.5" customHeight="1" x14ac:dyDescent="0.25">
      <c r="I26" s="1"/>
      <c r="J26" s="1"/>
      <c r="K26" s="2"/>
      <c r="L26" s="3"/>
    </row>
    <row r="27" spans="2:15" ht="19.5" customHeight="1" x14ac:dyDescent="0.25">
      <c r="I27" s="1"/>
      <c r="J27" s="1"/>
      <c r="K27" s="2"/>
      <c r="L27" s="3"/>
    </row>
    <row r="28" spans="2:15" ht="19.5" customHeight="1" x14ac:dyDescent="0.25">
      <c r="I28" s="1"/>
      <c r="J28" s="1"/>
      <c r="K28" s="2" t="s">
        <v>15</v>
      </c>
      <c r="L28" s="1" t="s">
        <v>16</v>
      </c>
      <c r="M28" s="4"/>
    </row>
    <row r="29" spans="2:15" ht="19.5" customHeight="1" x14ac:dyDescent="0.25">
      <c r="I29" s="1"/>
      <c r="J29" s="1"/>
      <c r="K29" s="2" t="s">
        <v>17</v>
      </c>
      <c r="L29" s="1" t="s">
        <v>18</v>
      </c>
      <c r="M29" s="4"/>
    </row>
    <row r="30" spans="2:15" ht="19.5" customHeight="1" x14ac:dyDescent="0.25">
      <c r="I30" s="1"/>
      <c r="J30" s="1"/>
      <c r="K30" s="2" t="s">
        <v>19</v>
      </c>
      <c r="L30" s="1" t="s">
        <v>20</v>
      </c>
      <c r="M30" s="4"/>
    </row>
    <row r="31" spans="2:15" ht="19.5" customHeight="1" x14ac:dyDescent="0.25">
      <c r="I31" s="1"/>
      <c r="J31" s="1"/>
      <c r="K31" s="2"/>
      <c r="L31" s="1" t="s">
        <v>21</v>
      </c>
      <c r="M31" s="4"/>
    </row>
    <row r="32" spans="2:15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5">
      <c r="I989" s="1"/>
      <c r="J989" s="1"/>
      <c r="K989" s="2"/>
      <c r="L989" s="3"/>
    </row>
    <row r="990" spans="9:12" ht="15.75" customHeight="1" x14ac:dyDescent="0.25">
      <c r="I990" s="1"/>
      <c r="J990" s="1"/>
      <c r="K990" s="2"/>
      <c r="L990" s="3"/>
    </row>
    <row r="991" spans="9:12" ht="15.75" customHeight="1" x14ac:dyDescent="0.25">
      <c r="I991" s="1"/>
      <c r="J991" s="1"/>
      <c r="K991" s="2"/>
      <c r="L991" s="3"/>
    </row>
    <row r="992" spans="9:12" ht="15.75" customHeight="1" x14ac:dyDescent="0.25">
      <c r="I992" s="1"/>
      <c r="J992" s="1"/>
      <c r="K992" s="2"/>
      <c r="L992" s="3"/>
    </row>
    <row r="993" spans="9:12" ht="15.75" customHeight="1" x14ac:dyDescent="0.25">
      <c r="I993" s="1"/>
      <c r="J993" s="1"/>
      <c r="K993" s="2"/>
      <c r="L993" s="3"/>
    </row>
    <row r="994" spans="9:12" ht="15.75" customHeight="1" x14ac:dyDescent="0.25">
      <c r="I994" s="1"/>
      <c r="J994" s="1"/>
      <c r="K994" s="2"/>
      <c r="L994" s="3"/>
    </row>
    <row r="995" spans="9:12" ht="15.75" customHeight="1" x14ac:dyDescent="0.25">
      <c r="I995" s="1"/>
      <c r="J995" s="1"/>
      <c r="K995" s="2"/>
      <c r="L995" s="3"/>
    </row>
    <row r="996" spans="9:12" ht="15.75" customHeight="1" x14ac:dyDescent="0.25">
      <c r="I996" s="1"/>
      <c r="J996" s="1"/>
      <c r="K996" s="2"/>
      <c r="L996" s="3"/>
    </row>
    <row r="997" spans="9:12" ht="15.75" customHeight="1" x14ac:dyDescent="0.25">
      <c r="I997" s="1"/>
      <c r="J997" s="1"/>
      <c r="K997" s="2"/>
      <c r="L997" s="3"/>
    </row>
    <row r="998" spans="9:12" ht="15.75" customHeight="1" x14ac:dyDescent="0.2">
      <c r="I998" s="3"/>
      <c r="J998" s="3"/>
      <c r="K998" s="6"/>
      <c r="L998" s="3"/>
    </row>
    <row r="999" spans="9:12" ht="15" customHeight="1" x14ac:dyDescent="0.2">
      <c r="I999" s="3"/>
      <c r="J999" s="3"/>
      <c r="K999" s="6"/>
      <c r="L999" s="3"/>
    </row>
  </sheetData>
  <mergeCells count="1">
    <mergeCell ref="B3:O3"/>
  </mergeCells>
  <dataValidations count="2">
    <dataValidation type="list" allowBlank="1" showErrorMessage="1" sqref="L9:L18 L6:L7" xr:uid="{00000000-0002-0000-0000-000000000000}">
      <formula1>$L$28:$L$31</formula1>
    </dataValidation>
    <dataValidation type="list" allowBlank="1" showErrorMessage="1" sqref="K9:K18 K6:K7" xr:uid="{00000000-0002-0000-0000-000001000000}">
      <formula1>$K$28:$K$30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64" t="s">
        <v>22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6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67" t="s">
        <v>23</v>
      </c>
      <c r="F9" s="66"/>
      <c r="G9" s="11"/>
      <c r="H9" s="67" t="s">
        <v>11</v>
      </c>
      <c r="I9" s="66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33</v>
      </c>
      <c r="D10" s="14"/>
      <c r="E10" s="68" t="e">
        <f>VLOOKUP(C10,'Formato descripción HU'!B6:O18,5,0)</f>
        <v>#N/A</v>
      </c>
      <c r="F10" s="69"/>
      <c r="G10" s="15"/>
      <c r="H10" s="70" t="e">
        <f>VLOOKUP(C10,'Formato descripción HU'!B6:O18,11,0)</f>
        <v>#N/A</v>
      </c>
      <c r="I10" s="66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24</v>
      </c>
      <c r="D12" s="14"/>
      <c r="E12" s="67" t="s">
        <v>10</v>
      </c>
      <c r="F12" s="66"/>
      <c r="G12" s="15"/>
      <c r="H12" s="67" t="s">
        <v>25</v>
      </c>
      <c r="I12" s="66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 t="e">
        <f>VLOOKUP('Historia de Usuario'!C10,'Formato descripción HU'!B6:O18,8,0)</f>
        <v>#N/A</v>
      </c>
      <c r="D13" s="14"/>
      <c r="E13" s="70" t="e">
        <f>VLOOKUP(C10,'Formato descripción HU'!B6:O18,10,0)</f>
        <v>#N/A</v>
      </c>
      <c r="F13" s="66"/>
      <c r="G13" s="15"/>
      <c r="H13" s="70" t="e">
        <f>VLOOKUP(C10,'Formato descripción HU'!B6:O18,7,0)</f>
        <v>#N/A</v>
      </c>
      <c r="I13" s="66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45" t="s">
        <v>26</v>
      </c>
      <c r="D15" s="55" t="e">
        <f>VLOOKUP(C10,'Formato descripción HU'!B6:O18,3,0)</f>
        <v>#N/A</v>
      </c>
      <c r="E15" s="49"/>
      <c r="F15" s="12"/>
      <c r="G15" s="45" t="s">
        <v>27</v>
      </c>
      <c r="H15" s="55" t="e">
        <f>VLOOKUP(C10,'Formato descripción HU'!B6:O18,4,0)</f>
        <v>#N/A</v>
      </c>
      <c r="I15" s="79"/>
      <c r="J15" s="49"/>
      <c r="K15" s="12"/>
      <c r="L15" s="81" t="s">
        <v>28</v>
      </c>
      <c r="M15" s="82" t="e">
        <f>VLOOKUP(C10,'Formato descripción HU'!B6:O18,6,0)</f>
        <v>#N/A</v>
      </c>
      <c r="N15" s="83"/>
      <c r="O15" s="84"/>
      <c r="P15" s="27"/>
    </row>
    <row r="16" spans="2:16" ht="19.5" customHeight="1" x14ac:dyDescent="0.2">
      <c r="B16" s="26"/>
      <c r="C16" s="46"/>
      <c r="D16" s="53"/>
      <c r="E16" s="54"/>
      <c r="F16" s="12"/>
      <c r="G16" s="46"/>
      <c r="H16" s="53"/>
      <c r="I16" s="44"/>
      <c r="J16" s="54"/>
      <c r="K16" s="12"/>
      <c r="L16" s="46"/>
      <c r="M16" s="85"/>
      <c r="N16" s="86"/>
      <c r="O16" s="87"/>
      <c r="P16" s="27"/>
    </row>
    <row r="17" spans="2:16" ht="19.5" customHeight="1" x14ac:dyDescent="0.2">
      <c r="B17" s="26"/>
      <c r="C17" s="47"/>
      <c r="D17" s="50"/>
      <c r="E17" s="51"/>
      <c r="F17" s="12"/>
      <c r="G17" s="47"/>
      <c r="H17" s="50"/>
      <c r="I17" s="80"/>
      <c r="J17" s="51"/>
      <c r="K17" s="12"/>
      <c r="L17" s="47"/>
      <c r="M17" s="88"/>
      <c r="N17" s="89"/>
      <c r="O17" s="90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48" t="s">
        <v>29</v>
      </c>
      <c r="D19" s="49"/>
      <c r="E19" s="91" t="e">
        <f>VLOOKUP(C10,'Formato descripción HU'!B6:O17,14,0)</f>
        <v>#N/A</v>
      </c>
      <c r="F19" s="92"/>
      <c r="G19" s="92"/>
      <c r="H19" s="92"/>
      <c r="I19" s="92"/>
      <c r="J19" s="92"/>
      <c r="K19" s="92"/>
      <c r="L19" s="92"/>
      <c r="M19" s="92"/>
      <c r="N19" s="92"/>
      <c r="O19" s="93"/>
      <c r="P19" s="27"/>
    </row>
    <row r="20" spans="2:16" ht="19.5" customHeight="1" x14ac:dyDescent="0.2">
      <c r="B20" s="26"/>
      <c r="C20" s="50"/>
      <c r="D20" s="51"/>
      <c r="E20" s="94"/>
      <c r="F20" s="95"/>
      <c r="G20" s="95"/>
      <c r="H20" s="95"/>
      <c r="I20" s="95"/>
      <c r="J20" s="95"/>
      <c r="K20" s="95"/>
      <c r="L20" s="95"/>
      <c r="M20" s="95"/>
      <c r="N20" s="95"/>
      <c r="O20" s="96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52" t="s">
        <v>30</v>
      </c>
      <c r="D22" s="49"/>
      <c r="E22" s="55" t="e">
        <f>VLOOKUP(C10,'Formato descripción HU'!B6:O18,12,0)</f>
        <v>#N/A</v>
      </c>
      <c r="F22" s="56"/>
      <c r="G22" s="56"/>
      <c r="H22" s="57"/>
      <c r="I22" s="12"/>
      <c r="J22" s="52" t="s">
        <v>13</v>
      </c>
      <c r="K22" s="49"/>
      <c r="L22" s="55" t="e">
        <f>VLOOKUP(C10,'Formato descripción HU'!B6:O18,13,0)</f>
        <v>#N/A</v>
      </c>
      <c r="M22" s="71"/>
      <c r="N22" s="71"/>
      <c r="O22" s="72"/>
      <c r="P22" s="27"/>
    </row>
    <row r="23" spans="2:16" ht="19.5" customHeight="1" x14ac:dyDescent="0.2">
      <c r="B23" s="26"/>
      <c r="C23" s="53"/>
      <c r="D23" s="54"/>
      <c r="E23" s="58"/>
      <c r="F23" s="59"/>
      <c r="G23" s="59"/>
      <c r="H23" s="60"/>
      <c r="I23" s="12"/>
      <c r="J23" s="53"/>
      <c r="K23" s="54"/>
      <c r="L23" s="73"/>
      <c r="M23" s="74"/>
      <c r="N23" s="74"/>
      <c r="O23" s="75"/>
      <c r="P23" s="27"/>
    </row>
    <row r="24" spans="2:16" ht="19.5" customHeight="1" x14ac:dyDescent="0.2">
      <c r="B24" s="26"/>
      <c r="C24" s="50"/>
      <c r="D24" s="51"/>
      <c r="E24" s="61"/>
      <c r="F24" s="62"/>
      <c r="G24" s="62"/>
      <c r="H24" s="63"/>
      <c r="I24" s="12"/>
      <c r="J24" s="50"/>
      <c r="K24" s="51"/>
      <c r="L24" s="76"/>
      <c r="M24" s="77"/>
      <c r="N24" s="77"/>
      <c r="O24" s="78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HU'!$B$6:$B$18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CRISTIAN DAVID SUQUILLO AYO</cp:lastModifiedBy>
  <cp:revision/>
  <cp:lastPrinted>2022-11-25T05:25:55Z</cp:lastPrinted>
  <dcterms:created xsi:type="dcterms:W3CDTF">2019-10-21T15:37:14Z</dcterms:created>
  <dcterms:modified xsi:type="dcterms:W3CDTF">2026-05-15T14:03:34Z</dcterms:modified>
  <cp:category/>
  <cp:contentStatus/>
</cp:coreProperties>
</file>