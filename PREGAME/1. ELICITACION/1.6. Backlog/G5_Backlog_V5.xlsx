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WINDOWS\Documents\Tercer Semestre\Metodologia\Proyecto\"/>
    </mc:Choice>
  </mc:AlternateContent>
  <xr:revisionPtr revIDLastSave="0" documentId="8_{8F1750CF-993F-47A4-AB42-45E5FE4732FC}" xr6:coauthVersionLast="47" xr6:coauthVersionMax="47" xr10:uidLastSave="{00000000-0000-0000-0000-000000000000}"/>
  <bookViews>
    <workbookView xWindow="-108" yWindow="-108" windowWidth="23256" windowHeight="12456" activeTab="3" xr2:uid="{00000000-000D-0000-FFFF-FFFF00000000}"/>
  </bookViews>
  <sheets>
    <sheet name="Backlog" sheetId="1" r:id="rId1"/>
    <sheet name="sprint1" sheetId="2" r:id="rId2"/>
    <sheet name="sprint2" sheetId="4" r:id="rId3"/>
    <sheet name="burdonchart"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3" l="1"/>
  <c r="I13" i="3"/>
  <c r="H13" i="3"/>
  <c r="G13" i="3"/>
  <c r="F13" i="3"/>
  <c r="E13" i="3"/>
  <c r="D13" i="3"/>
  <c r="C13" i="3"/>
  <c r="C12" i="3"/>
  <c r="D12" i="3" l="1"/>
  <c r="E12" i="3" s="1"/>
  <c r="F12" i="3" s="1"/>
  <c r="G12" i="3" s="1"/>
  <c r="H12" i="3" s="1"/>
  <c r="I12" i="3" s="1"/>
  <c r="J12" i="3" s="1"/>
</calcChain>
</file>

<file path=xl/sharedStrings.xml><?xml version="1.0" encoding="utf-8"?>
<sst xmlns="http://schemas.openxmlformats.org/spreadsheetml/2006/main" count="252" uniqueCount="128">
  <si>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</si>
  <si>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</si>
  <si>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</si>
  <si>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</si>
  <si>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</si>
  <si>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</si>
  <si>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</si>
  <si>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</si>
  <si>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</si>
  <si>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</si>
  <si>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</si>
  <si>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</si>
  <si>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</si>
  <si>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</si>
  <si>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</si>
  <si>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</si>
  <si>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</si>
  <si>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</si>
  <si>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</si>
  <si>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</si>
  <si>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</si>
  <si>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</si>
  <si>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</si>
  <si>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</si>
  <si>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</si>
  <si>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</si>
  <si>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</si>
  <si>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</si>
  <si>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</si>
  <si>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</si>
  <si>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</si>
  <si>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</si>
  <si>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Validar credenciales del administrador</t>
  </si>
  <si>
    <t>Ingresar al sistema con crendenciales unicas del administrador</t>
  </si>
  <si>
    <t>Ingresar al menu del sistema como administrador</t>
  </si>
  <si>
    <t>3 intentos de ingreso al sistema</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</si>
  <si>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</si>
  <si>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</si>
  <si>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</si>
  <si>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</si>
  <si>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</si>
  <si>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</si>
  <si>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</si>
  <si>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</si>
  <si>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</si>
  <si>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</si>
  <si>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</si>
  <si>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</si>
  <si>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</si>
  <si>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</si>
  <si>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</si>
  <si>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</si>
  <si>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</si>
  <si>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</si>
  <si>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</si>
  <si>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</si>
  <si>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</si>
  <si>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</si>
  <si>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</si>
  <si>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</si>
  <si>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</si>
  <si>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</si>
  <si>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</si>
  <si>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</si>
  <si>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</si>
  <si>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</si>
  <si>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</si>
  <si>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</si>
  <si>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</si>
  <si>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</si>
  <si>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</si>
  <si>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</si>
  <si>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</si>
  <si>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</si>
  <si>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</si>
  <si>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</si>
  <si>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</si>
  <si>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Acceder a los modulos del sistema de manera organizada despues del inicio de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</si>
  <si>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</si>
  <si>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</si>
  <si>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</si>
  <si>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</si>
  <si>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</si>
  <si>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REQ005</t>
  </si>
  <si>
    <t>REQ006</t>
  </si>
  <si>
    <t>REQ007</t>
  </si>
  <si>
    <t>En revision</t>
  </si>
  <si>
    <t>Control de pagos de alícuotas por vivienda</t>
  </si>
  <si>
    <t>Registrar los pagos mensuales de los residentes asociada a cada vivienda</t>
  </si>
  <si>
    <t xml:space="preserve">Llevar un control claro de los ingresos que son generados por alícuotas </t>
  </si>
  <si>
    <t>realizar busqueda mediante los atributos nombre, cedula y n° de casa</t>
  </si>
  <si>
    <t>Gestión de arriendos de locales, parqueaderos o de la sede social</t>
  </si>
  <si>
    <t>Registrar y administrar los cobros por los diferentes tipos de arriendos</t>
  </si>
  <si>
    <t>Llevar un control claro de los ingresos generados por los arriendos.</t>
  </si>
  <si>
    <t>diferenciar el tipo de arriendo</t>
  </si>
  <si>
    <t>Gestion de multas por imcuplimiento de las reglas del conjunto</t>
  </si>
  <si>
    <t>Registrar las multas especificas a las cuentas de los residentes</t>
  </si>
  <si>
    <t>Controlar multas por asambleas, mingas o mascotas</t>
  </si>
  <si>
    <t>REQ005-1</t>
  </si>
  <si>
    <t>REQ005-2</t>
  </si>
  <si>
    <t>Implementar la funcionalidad para seleccionar al residente y registrar el monto y período de pago</t>
  </si>
  <si>
    <t>REQ005-3</t>
  </si>
  <si>
    <t>REQ005-4</t>
  </si>
  <si>
    <t>REQ006-1</t>
  </si>
  <si>
    <t>REQ006-2</t>
  </si>
  <si>
    <t>REQ006-3</t>
  </si>
  <si>
    <t>Llevar un control claro de los ingresos por alícuotas y consultar el historial de pagos de cada residente</t>
  </si>
  <si>
    <t xml:space="preserve">Desarrollar la conexión en MongoDB para almacenar los pagos realizados </t>
  </si>
  <si>
    <t>Llevar un control claro de los ingresos generados por los arriendos</t>
  </si>
  <si>
    <t>Crear la interfaz de registro de pagos de alícuotas en Netbeans, lenguaje Java</t>
  </si>
  <si>
    <t>Crear la interfaz de registro de arriendos en NetBeans, lenguaje Java</t>
  </si>
  <si>
    <t>REQ006-4</t>
  </si>
  <si>
    <t>Implementar el formulario para registrar arriendos seleccionando residente, tipo de arriendo y valor del pago.</t>
  </si>
  <si>
    <t>Crear la conexión a la base de datos en MongoDB para almacenar los cobros registrados.</t>
  </si>
  <si>
    <t>diferenciar tipo de arriendo</t>
  </si>
  <si>
    <t>Crear la interfaz de registro de multas en NetBeans, lenguaje Java</t>
  </si>
  <si>
    <t>Crear la estructura de la colección en MongoDB y programar la conexión para almacenar las multas registradas.</t>
  </si>
  <si>
    <t>REQ007-1</t>
  </si>
  <si>
    <t>REQ007-2</t>
  </si>
  <si>
    <t>REQ007-3</t>
  </si>
  <si>
    <t>REQ007-4</t>
  </si>
  <si>
    <t>En proceso</t>
  </si>
  <si>
    <t xml:space="preserve">Mostrar los pagos registrados en el historial de cada residente en una tabla </t>
  </si>
  <si>
    <t>Mostrar el historial de arriendos y el total recaudado por cada tipo de arriendo en el sistema en diferentes tablas</t>
  </si>
  <si>
    <t>Configurar el catalogo con los tipos requeridos (asambleas, mingas, mascotas), junto con las tarifas base que defina el administrador</t>
  </si>
  <si>
    <t>Mostrar las multas registradas en una tabla</t>
  </si>
  <si>
    <t>Terminado</t>
  </si>
  <si>
    <t>El proyecto inició con 40 horas estimadas, y durante los primeros días el avance real se mantuvo por encima de la línea ideal, evidenciando un progreso más lento de lo planificado. A lo largo del sprint se observa una reducción constante de las horas restantes, aunque la diferencia con la línea ideal se mantiene visible. Al finalizar el periodo, el equipo logró disminuir significativamente el trabajo pendiente, alcanzando aproximadamente 15 horas restantes, lo que indica que hubo avance continuo pero no se completaron todas las tareas dentro del tiempo establecido.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</si>
</sst>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0"/>
      <color theme="1"/>
      <name val="Arial"/>
      <family val="2"/>
    </font>
    <font>
      <sz val="11"/>
      <color rgb="FF000000"/>
      <name val="Inconsolata"/>
    </font>
    <font>
      <sz val="12"/>
      <color rgb="FF000000"/>
      <name val="Arial"/>
      <family val="2"/>
      <scheme val="minor"/>
    </font>
    <font>
      <b/>
      <sz val="10"/>
      <color rgb="FF000000"/>
      <name val="Arial"/>
      <family val="2"/>
      <scheme val="minor"/>
    </font>
    <font>
      <sz val="10"/>
      <color rgb="FF4A86E8"/>
      <name val="Arial"/>
      <family val="2"/>
      <scheme val="minor"/>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
      <sz val="10"/>
      <color theme="4"/>
      <name val="Arial"/>
      <family val="2"/>
      <scheme val="minor"/>
    </font>
    <font>
      <sz val="10"/>
      <color theme="4"/>
      <name val="Calibri"/>
      <family val="2"/>
    </font>
    <font>
      <sz val="10"/>
      <color theme="4"/>
      <name val="Arial"/>
      <scheme val="minor"/>
    </font>
    <font>
      <b/>
      <sz val="10"/>
      <color theme="4"/>
      <name val="Arial"/>
      <family val="2"/>
      <scheme val="minor"/>
    </font>
    <font>
      <sz val="10"/>
      <color rgb="FF0070C0"/>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s>
  <borders count="8">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4" fillId="0" borderId="2" xfId="0" applyFont="1" applyBorder="1" applyAlignment="1">
      <alignment horizontal="center" wrapText="1"/>
    </xf>
    <xf numFmtId="0" fontId="7" fillId="0" borderId="3" xfId="0" applyFont="1" applyBorder="1" applyAlignment="1">
      <alignment wrapText="1"/>
    </xf>
    <xf numFmtId="0" fontId="4" fillId="0" borderId="3" xfId="0" applyFont="1" applyBorder="1" applyAlignment="1">
      <alignment horizontal="center" wrapText="1"/>
    </xf>
    <xf numFmtId="0" fontId="7" fillId="6" borderId="3" xfId="0" applyFont="1" applyFill="1" applyBorder="1" applyAlignment="1">
      <alignment wrapText="1"/>
    </xf>
    <xf numFmtId="0" fontId="7" fillId="7" borderId="3" xfId="0" applyFont="1" applyFill="1" applyBorder="1" applyAlignment="1">
      <alignment wrapText="1"/>
    </xf>
    <xf numFmtId="0" fontId="4" fillId="0" borderId="3" xfId="0" applyFont="1" applyBorder="1" applyAlignment="1">
      <alignment wrapText="1"/>
    </xf>
    <xf numFmtId="0" fontId="6" fillId="0" borderId="3" xfId="0" applyFont="1" applyBorder="1" applyAlignment="1">
      <alignment wrapText="1"/>
    </xf>
    <xf numFmtId="0" fontId="6" fillId="0" borderId="3" xfId="0" applyFont="1" applyBorder="1" applyAlignment="1">
      <alignment horizontal="right" wrapText="1"/>
    </xf>
    <xf numFmtId="0" fontId="6" fillId="0" borderId="3" xfId="0" applyFont="1" applyBorder="1" applyAlignment="1">
      <alignment vertical="top" wrapText="1"/>
    </xf>
    <xf numFmtId="0" fontId="7" fillId="0" borderId="3" xfId="0" applyFont="1" applyBorder="1" applyAlignment="1">
      <alignment vertical="top" wrapText="1"/>
    </xf>
    <xf numFmtId="0" fontId="8" fillId="0" borderId="3" xfId="0" applyFont="1" applyBorder="1" applyAlignment="1">
      <alignment wrapText="1"/>
    </xf>
    <xf numFmtId="0" fontId="7" fillId="0" borderId="3" xfId="0" applyFont="1" applyBorder="1"/>
    <xf numFmtId="0" fontId="7" fillId="6" borderId="3" xfId="0" applyFont="1" applyFill="1" applyBorder="1"/>
    <xf numFmtId="0" fontId="7" fillId="0" borderId="4" xfId="0" applyFont="1" applyBorder="1"/>
    <xf numFmtId="0" fontId="7" fillId="0" borderId="5" xfId="0" applyFont="1" applyBorder="1"/>
    <xf numFmtId="0" fontId="7" fillId="0" borderId="6" xfId="0" applyFont="1" applyBorder="1"/>
    <xf numFmtId="0" fontId="7" fillId="0" borderId="4"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4" fillId="0" borderId="7" xfId="0" applyFont="1" applyBorder="1" applyAlignment="1">
      <alignment horizontal="center" wrapText="1"/>
    </xf>
    <xf numFmtId="0" fontId="5" fillId="0" borderId="0" xfId="0" applyFont="1" applyAlignment="1">
      <alignment horizontal="center" wrapText="1"/>
    </xf>
    <xf numFmtId="0" fontId="11" fillId="0" borderId="7" xfId="0" applyFont="1" applyBorder="1" applyAlignment="1">
      <alignment vertical="center"/>
    </xf>
    <xf numFmtId="0" fontId="11" fillId="0" borderId="7" xfId="0" applyFont="1" applyBorder="1" applyAlignment="1">
      <alignment horizontal="center" wrapText="1"/>
    </xf>
    <xf numFmtId="0" fontId="11" fillId="0" borderId="7" xfId="0" applyFont="1" applyBorder="1"/>
    <xf numFmtId="0" fontId="12" fillId="0" borderId="7" xfId="0" applyFont="1" applyBorder="1" applyAlignment="1">
      <alignment horizontal="center" wrapText="1"/>
    </xf>
    <xf numFmtId="0" fontId="13" fillId="0" borderId="7" xfId="0" applyFont="1" applyBorder="1"/>
    <xf numFmtId="0" fontId="11" fillId="0" borderId="7" xfId="0" applyFont="1" applyBorder="1" applyAlignment="1">
      <alignment wrapText="1"/>
    </xf>
    <xf numFmtId="0" fontId="14" fillId="0" borderId="7" xfId="0" applyFont="1" applyBorder="1" applyAlignment="1">
      <alignment horizontal="center" wrapText="1"/>
    </xf>
    <xf numFmtId="0" fontId="4" fillId="0" borderId="0" xfId="0" applyFont="1" applyAlignment="1">
      <alignment horizontal="center" wrapText="1"/>
    </xf>
    <xf numFmtId="0" fontId="7" fillId="6" borderId="0" xfId="0" applyFont="1" applyFill="1" applyAlignment="1">
      <alignment wrapText="1"/>
    </xf>
    <xf numFmtId="0" fontId="7"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6" fillId="0" borderId="0" xfId="0" applyFont="1" applyAlignment="1">
      <alignment horizontal="right" wrapText="1"/>
    </xf>
    <xf numFmtId="0" fontId="7" fillId="0" borderId="0" xfId="0" applyFont="1" applyAlignment="1">
      <alignment vertical="center"/>
    </xf>
    <xf numFmtId="0" fontId="15" fillId="0" borderId="3" xfId="0" applyFont="1" applyBorder="1" applyAlignment="1">
      <alignment horizontal="right" wrapText="1"/>
    </xf>
    <xf numFmtId="0" fontId="15" fillId="0" borderId="0" xfId="0" applyFont="1"/>
    <xf numFmtId="0" fontId="7" fillId="0" borderId="0" xfId="0" applyFont="1"/>
    <xf numFmtId="0" fontId="7" fillId="0" borderId="4" xfId="0" applyFont="1" applyBorder="1"/>
    <xf numFmtId="0" fontId="7" fillId="0" borderId="5" xfId="0" applyFont="1" applyBorder="1"/>
    <xf numFmtId="0" fontId="7" fillId="0" borderId="6" xfId="0" applyFont="1" applyBorder="1"/>
    <xf numFmtId="0" fontId="7" fillId="0" borderId="4"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7" fillId="0" borderId="0" xfId="0" applyFont="1" applyAlignment="1">
      <alignment wrapText="1"/>
    </xf>
    <xf numFmtId="0" fontId="7" fillId="0" borderId="0" xfId="0" applyFont="1" applyAlignment="1">
      <alignment vertical="center"/>
    </xf>
    <xf numFmtId="0" fontId="3" fillId="0" borderId="0" xfId="0" applyFont="1" applyAlignment="1">
      <alignment horizontal="left" vertical="center" wrapText="1"/>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spPr>
            <a:ln cmpd="sng">
              <a:solidFill>
                <a:srgbClr val="3366CC"/>
              </a:solidFill>
            </a:ln>
          </c:spPr>
          <c:marker>
            <c:symbol val="none"/>
          </c:marker>
          <c:val>
            <c:numRef>
              <c:f>burdonchart!$B$12:$J$12</c:f>
              <c:numCache>
                <c:formatCode>General</c:formatCode>
                <c:ptCount val="9"/>
                <c:pt idx="0">
                  <c:v>0</c:v>
                </c:pt>
                <c:pt idx="1">
                  <c:v>40</c:v>
                </c:pt>
                <c:pt idx="2">
                  <c:v>37</c:v>
                </c:pt>
                <c:pt idx="3">
                  <c:v>37</c:v>
                </c:pt>
                <c:pt idx="4">
                  <c:v>35</c:v>
                </c:pt>
                <c:pt idx="5">
                  <c:v>31</c:v>
                </c:pt>
                <c:pt idx="6">
                  <c:v>26</c:v>
                </c:pt>
                <c:pt idx="7">
                  <c:v>21</c:v>
                </c:pt>
                <c:pt idx="8">
                  <c:v>15</c:v>
                </c:pt>
              </c:numCache>
            </c:numRef>
          </c:val>
          <c:smooth val="0"/>
          <c:extLst>
            <c:ext xmlns:c16="http://schemas.microsoft.com/office/drawing/2014/chart" uri="{C3380CC4-5D6E-409C-BE32-E72D297353CC}">
              <c16:uniqueId val="{00000000-EB09-4C3D-AE3A-D603C95EF801}"/>
            </c:ext>
          </c:extLst>
        </c:ser>
        <c:ser>
          <c:idx val="1"/>
          <c:order val="1"/>
          <c:spPr>
            <a:ln cmpd="sng">
              <a:solidFill>
                <a:srgbClr val="DC3912"/>
              </a:solidFill>
            </a:ln>
          </c:spPr>
          <c:marker>
            <c:symbol val="none"/>
          </c:marker>
          <c:val>
            <c:numRef>
              <c:f>burdonchart!$B$13:$J$13</c:f>
              <c:numCache>
                <c:formatCode>General</c:formatCode>
                <c:ptCount val="9"/>
                <c:pt idx="0">
                  <c:v>0</c:v>
                </c:pt>
                <c:pt idx="1">
                  <c:v>40</c:v>
                </c:pt>
                <c:pt idx="2">
                  <c:v>34.285714285714285</c:v>
                </c:pt>
                <c:pt idx="3">
                  <c:v>28.571428571428569</c:v>
                </c:pt>
                <c:pt idx="4">
                  <c:v>22.857142857142854</c:v>
                </c:pt>
                <c:pt idx="5">
                  <c:v>17.142857142857139</c:v>
                </c:pt>
                <c:pt idx="6">
                  <c:v>11.428571428571423</c:v>
                </c:pt>
                <c:pt idx="7">
                  <c:v>5.7142857142857091</c:v>
                </c:pt>
                <c:pt idx="8">
                  <c:v>0</c:v>
                </c:pt>
              </c:numCache>
            </c:numRef>
          </c:val>
          <c:smooth val="0"/>
          <c:extLst>
            <c:ext xmlns:c16="http://schemas.microsoft.com/office/drawing/2014/chart" uri="{C3380CC4-5D6E-409C-BE32-E72D297353CC}">
              <c16:uniqueId val="{00000001-EB09-4C3D-AE3A-D603C95EF801}"/>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91186</xdr:colOff>
      <xdr:row>14</xdr:row>
      <xdr:rowOff>17410</xdr:rowOff>
    </xdr:from>
    <xdr:ext cx="8056558" cy="4937695"/>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7"/>
  <sheetViews>
    <sheetView zoomScale="107" zoomScaleNormal="80" workbookViewId="0">
      <selection activeCell="J14" sqref="J14"/>
    </sheetView>
  </sheetViews>
  <sheetFormatPr baseColWidth="10" defaultColWidth="12.5546875" defaultRowHeight="15" customHeight="1" x14ac:dyDescent="0.25"/>
  <cols>
    <col min="1" max="1" width="8.33203125" customWidth="1"/>
    <col min="2" max="2" width="57.21875" customWidth="1"/>
    <col min="3" max="3" width="13.44140625" customWidth="1"/>
    <col min="4" max="4" width="77.33203125" customWidth="1"/>
    <col min="5" max="5" width="84.21875" customWidth="1"/>
    <col min="6" max="6" width="59.44140625" bestFit="1" customWidth="1"/>
  </cols>
  <sheetData>
    <row r="2" spans="1:8" ht="15.75" customHeight="1" x14ac:dyDescent="0.25">
      <c r="A2" s="26" t="s">
        <v>10</v>
      </c>
      <c r="B2" s="26" t="s">
        <v>0</v>
      </c>
      <c r="C2" s="26" t="s">
        <v>1</v>
      </c>
      <c r="D2" s="26" t="s">
        <v>2</v>
      </c>
      <c r="E2" s="26" t="s">
        <v>3</v>
      </c>
      <c r="F2" s="26" t="s">
        <v>4</v>
      </c>
      <c r="G2" s="26" t="s">
        <v>5</v>
      </c>
      <c r="H2" s="26" t="s">
        <v>6</v>
      </c>
    </row>
    <row r="3" spans="1:8" ht="16.5" customHeight="1" x14ac:dyDescent="0.3">
      <c r="A3" s="33" t="s">
        <v>7</v>
      </c>
      <c r="B3" s="28" t="s">
        <v>68</v>
      </c>
      <c r="C3" s="29" t="s">
        <v>9</v>
      </c>
      <c r="D3" s="30" t="s">
        <v>33</v>
      </c>
      <c r="E3" s="30" t="s">
        <v>34</v>
      </c>
      <c r="F3" s="30" t="s">
        <v>35</v>
      </c>
      <c r="G3" s="31" t="s">
        <v>8</v>
      </c>
      <c r="H3" s="31" t="s">
        <v>126</v>
      </c>
    </row>
    <row r="4" spans="1:8" ht="15.75" customHeight="1" x14ac:dyDescent="0.3">
      <c r="A4" s="33" t="s">
        <v>36</v>
      </c>
      <c r="B4" s="28" t="s">
        <v>69</v>
      </c>
      <c r="C4" s="29" t="s">
        <v>9</v>
      </c>
      <c r="D4" s="30" t="s">
        <v>77</v>
      </c>
      <c r="E4" s="30" t="s">
        <v>71</v>
      </c>
      <c r="F4" s="34"/>
      <c r="G4" s="31" t="s">
        <v>8</v>
      </c>
      <c r="H4" s="31" t="s">
        <v>126</v>
      </c>
    </row>
    <row r="5" spans="1:8" ht="15.75" customHeight="1" x14ac:dyDescent="0.3">
      <c r="A5" s="33" t="s">
        <v>40</v>
      </c>
      <c r="B5" s="28" t="s">
        <v>37</v>
      </c>
      <c r="C5" s="29" t="s">
        <v>9</v>
      </c>
      <c r="D5" s="30" t="s">
        <v>38</v>
      </c>
      <c r="E5" s="30" t="s">
        <v>78</v>
      </c>
      <c r="F5" s="30" t="s">
        <v>39</v>
      </c>
      <c r="G5" s="31" t="s">
        <v>8</v>
      </c>
      <c r="H5" s="31" t="s">
        <v>126</v>
      </c>
    </row>
    <row r="6" spans="1:8" ht="15.75" customHeight="1" x14ac:dyDescent="0.3">
      <c r="A6" s="33" t="s">
        <v>44</v>
      </c>
      <c r="B6" s="28" t="s">
        <v>41</v>
      </c>
      <c r="C6" s="29" t="s">
        <v>9</v>
      </c>
      <c r="D6" s="30" t="s">
        <v>42</v>
      </c>
      <c r="E6" s="30" t="s">
        <v>43</v>
      </c>
      <c r="F6" s="30" t="s">
        <v>90</v>
      </c>
      <c r="G6" s="31" t="s">
        <v>8</v>
      </c>
      <c r="H6" s="31" t="s">
        <v>126</v>
      </c>
    </row>
    <row r="7" spans="1:8" ht="15.75" customHeight="1" x14ac:dyDescent="0.3">
      <c r="A7" s="30" t="s">
        <v>83</v>
      </c>
      <c r="B7" s="32" t="s">
        <v>87</v>
      </c>
      <c r="C7" s="29" t="s">
        <v>9</v>
      </c>
      <c r="D7" s="30" t="s">
        <v>88</v>
      </c>
      <c r="E7" s="32" t="s">
        <v>89</v>
      </c>
      <c r="F7" s="32"/>
      <c r="G7" s="31" t="s">
        <v>8</v>
      </c>
      <c r="H7" s="31" t="s">
        <v>86</v>
      </c>
    </row>
    <row r="8" spans="1:8" ht="15.75" customHeight="1" x14ac:dyDescent="0.3">
      <c r="A8" s="30" t="s">
        <v>84</v>
      </c>
      <c r="B8" s="30" t="s">
        <v>91</v>
      </c>
      <c r="C8" s="29" t="s">
        <v>9</v>
      </c>
      <c r="D8" s="30" t="s">
        <v>92</v>
      </c>
      <c r="E8" s="30" t="s">
        <v>93</v>
      </c>
      <c r="F8" s="32" t="s">
        <v>94</v>
      </c>
      <c r="G8" s="31" t="s">
        <v>8</v>
      </c>
      <c r="H8" s="31" t="s">
        <v>86</v>
      </c>
    </row>
    <row r="9" spans="1:8" ht="15.75" customHeight="1" x14ac:dyDescent="0.3">
      <c r="A9" s="30" t="s">
        <v>85</v>
      </c>
      <c r="B9" s="32" t="s">
        <v>95</v>
      </c>
      <c r="C9" s="29" t="s">
        <v>9</v>
      </c>
      <c r="D9" s="30" t="s">
        <v>96</v>
      </c>
      <c r="E9" s="32" t="s">
        <v>97</v>
      </c>
      <c r="F9" s="32"/>
      <c r="G9" s="31" t="s">
        <v>8</v>
      </c>
      <c r="H9" s="31" t="s">
        <v>86</v>
      </c>
    </row>
    <row r="10" spans="1:8" ht="15.75" customHeight="1" x14ac:dyDescent="0.25">
      <c r="C10" s="27"/>
    </row>
    <row r="11" spans="1:8" ht="15.75" customHeight="1" x14ac:dyDescent="0.25"/>
    <row r="12" spans="1:8" ht="15.75" customHeight="1" x14ac:dyDescent="0.25"/>
    <row r="13" spans="1:8" ht="15.75" customHeight="1" x14ac:dyDescent="0.25"/>
    <row r="14" spans="1:8" ht="15.75" customHeight="1" thickBot="1" x14ac:dyDescent="0.3"/>
    <row r="15" spans="1:8" ht="15.75" customHeight="1" thickBot="1" x14ac:dyDescent="0.3">
      <c r="C15" s="7"/>
    </row>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9"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topLeftCell="A9" zoomScale="81" zoomScaleNormal="90" workbookViewId="0">
      <selection activeCell="C4" sqref="C4"/>
    </sheetView>
  </sheetViews>
  <sheetFormatPr baseColWidth="10" defaultColWidth="12.5546875" defaultRowHeight="15" customHeight="1" x14ac:dyDescent="0.25"/>
  <cols>
    <col min="1" max="2" width="12.5546875" customWidth="1"/>
    <col min="3" max="3" width="35.109375" customWidth="1"/>
    <col min="4" max="4" width="20.44140625" bestFit="1" customWidth="1"/>
    <col min="5" max="5" width="41.33203125" bestFit="1" customWidth="1"/>
    <col min="6" max="6" width="56.109375" customWidth="1"/>
    <col min="7" max="7" width="29" bestFit="1" customWidth="1"/>
  </cols>
  <sheetData>
    <row r="1" spans="1:26" ht="15.75" customHeight="1" thickBot="1" x14ac:dyDescent="0.3">
      <c r="A1" s="8"/>
      <c r="B1" s="8"/>
      <c r="C1" s="8"/>
      <c r="D1" s="8"/>
      <c r="E1" s="8"/>
      <c r="F1" s="8"/>
      <c r="G1" s="8"/>
      <c r="H1" s="8"/>
      <c r="I1" s="8"/>
      <c r="J1" s="8"/>
      <c r="K1" s="8"/>
      <c r="L1" s="8"/>
      <c r="M1" s="8"/>
      <c r="N1" s="8"/>
      <c r="O1" s="8"/>
      <c r="P1" s="8"/>
      <c r="Q1" s="8"/>
      <c r="R1" s="8"/>
      <c r="S1" s="8"/>
      <c r="T1" s="8"/>
      <c r="U1" s="8"/>
      <c r="V1" s="8"/>
      <c r="W1" s="8"/>
      <c r="X1" s="8"/>
      <c r="Y1" s="8"/>
      <c r="Z1" s="8"/>
    </row>
    <row r="2" spans="1:26" ht="15.75" customHeight="1" thickBot="1" x14ac:dyDescent="0.3">
      <c r="A2" s="8"/>
      <c r="B2" s="8"/>
      <c r="C2" s="8"/>
      <c r="D2" s="8"/>
      <c r="E2" s="8"/>
      <c r="F2" s="8"/>
      <c r="G2" s="8"/>
      <c r="H2" s="8"/>
      <c r="I2" s="8"/>
      <c r="J2" s="8"/>
      <c r="K2" s="8"/>
      <c r="L2" s="8"/>
      <c r="M2" s="8"/>
      <c r="N2" s="8"/>
      <c r="O2" s="8"/>
      <c r="P2" s="8"/>
      <c r="Q2" s="8"/>
      <c r="R2" s="8"/>
      <c r="S2" s="8"/>
      <c r="T2" s="8"/>
      <c r="U2" s="8"/>
      <c r="V2" s="8"/>
      <c r="W2" s="8"/>
      <c r="X2" s="8"/>
      <c r="Y2" s="8"/>
      <c r="Z2" s="8"/>
    </row>
    <row r="3" spans="1:26" ht="15.75" customHeight="1" thickBot="1" x14ac:dyDescent="0.3">
      <c r="A3" s="8"/>
      <c r="B3" s="9" t="s">
        <v>10</v>
      </c>
      <c r="C3" s="9" t="s">
        <v>0</v>
      </c>
      <c r="D3" s="9" t="s">
        <v>1</v>
      </c>
      <c r="E3" s="9" t="s">
        <v>11</v>
      </c>
      <c r="F3" s="9" t="s">
        <v>12</v>
      </c>
      <c r="G3" s="9" t="s">
        <v>4</v>
      </c>
      <c r="H3" s="9" t="s">
        <v>13</v>
      </c>
      <c r="I3" s="9" t="s">
        <v>14</v>
      </c>
      <c r="J3" s="8"/>
      <c r="K3" s="8"/>
      <c r="L3" s="8"/>
      <c r="M3" s="8"/>
      <c r="N3" s="8"/>
      <c r="O3" s="8"/>
      <c r="P3" s="8"/>
      <c r="Q3" s="8"/>
      <c r="R3" s="8"/>
      <c r="S3" s="8"/>
      <c r="T3" s="8"/>
      <c r="U3" s="8"/>
      <c r="V3" s="8"/>
      <c r="W3" s="8"/>
      <c r="X3" s="8"/>
      <c r="Y3" s="8"/>
      <c r="Z3" s="8"/>
    </row>
    <row r="4" spans="1:26" ht="15.75" customHeight="1" thickBot="1" x14ac:dyDescent="0.3">
      <c r="A4" s="8"/>
      <c r="B4" s="10" t="s">
        <v>7</v>
      </c>
      <c r="C4" s="19" t="s">
        <v>32</v>
      </c>
      <c r="D4" s="10" t="s">
        <v>9</v>
      </c>
      <c r="E4" s="19" t="s">
        <v>33</v>
      </c>
      <c r="F4" s="19" t="s">
        <v>34</v>
      </c>
      <c r="G4" s="10"/>
      <c r="H4" s="10" t="s">
        <v>8</v>
      </c>
      <c r="I4" s="10" t="s">
        <v>86</v>
      </c>
      <c r="J4" s="8"/>
      <c r="K4" s="11"/>
      <c r="L4" s="11"/>
      <c r="M4" s="11"/>
      <c r="N4" s="11"/>
      <c r="O4" s="11"/>
      <c r="P4" s="11"/>
      <c r="Q4" s="11"/>
      <c r="R4" s="11"/>
      <c r="S4" s="8"/>
      <c r="T4" s="8"/>
      <c r="U4" s="8"/>
      <c r="V4" s="8"/>
      <c r="W4" s="8"/>
      <c r="X4" s="8"/>
      <c r="Y4" s="8"/>
      <c r="Z4" s="8"/>
    </row>
    <row r="5" spans="1:26" ht="15.75" customHeight="1" thickBot="1" x14ac:dyDescent="0.3">
      <c r="A5" s="8"/>
      <c r="B5" s="8"/>
      <c r="C5" s="12" t="s">
        <v>15</v>
      </c>
      <c r="D5" s="8"/>
      <c r="E5" s="8"/>
      <c r="F5" s="8"/>
      <c r="G5" s="12" t="s">
        <v>16</v>
      </c>
      <c r="H5" s="8"/>
      <c r="I5" s="12" t="s">
        <v>17</v>
      </c>
      <c r="J5" s="8"/>
      <c r="K5" s="8"/>
      <c r="L5" s="8"/>
      <c r="M5" s="8"/>
      <c r="N5" s="8"/>
      <c r="O5" s="8"/>
      <c r="P5" s="8"/>
      <c r="Q5" s="8"/>
      <c r="R5" s="8"/>
      <c r="S5" s="8"/>
      <c r="T5" s="8"/>
      <c r="U5" s="8"/>
      <c r="V5" s="8"/>
      <c r="W5" s="8"/>
      <c r="X5" s="8"/>
      <c r="Y5" s="8"/>
      <c r="Z5" s="8"/>
    </row>
    <row r="6" spans="1:26" ht="15.75" customHeight="1" thickBot="1" x14ac:dyDescent="0.3">
      <c r="A6" s="8"/>
      <c r="B6" s="13" t="s">
        <v>18</v>
      </c>
      <c r="C6" s="45" t="s">
        <v>45</v>
      </c>
      <c r="D6" s="46"/>
      <c r="E6" s="46"/>
      <c r="F6" s="47"/>
      <c r="G6" s="8" t="s">
        <v>46</v>
      </c>
      <c r="H6" s="8"/>
      <c r="I6" s="14">
        <v>2</v>
      </c>
      <c r="J6" s="8"/>
      <c r="K6" s="8"/>
      <c r="L6" s="48"/>
      <c r="M6" s="49"/>
      <c r="N6" s="49"/>
      <c r="O6" s="50"/>
      <c r="P6" s="8"/>
      <c r="Q6" s="8"/>
      <c r="R6" s="8"/>
      <c r="S6" s="8"/>
      <c r="T6" s="8"/>
      <c r="U6" s="8"/>
      <c r="V6" s="8"/>
      <c r="W6" s="8"/>
      <c r="X6" s="8"/>
      <c r="Y6" s="8"/>
      <c r="Z6" s="8"/>
    </row>
    <row r="7" spans="1:26" ht="15.75" customHeight="1" thickBot="1" x14ac:dyDescent="0.3">
      <c r="A7" s="8"/>
      <c r="B7" s="13" t="s">
        <v>19</v>
      </c>
      <c r="C7" s="45" t="s">
        <v>79</v>
      </c>
      <c r="D7" s="46"/>
      <c r="E7" s="46"/>
      <c r="F7" s="47"/>
      <c r="G7" s="8" t="s">
        <v>46</v>
      </c>
      <c r="H7" s="8"/>
      <c r="I7" s="14">
        <v>2</v>
      </c>
      <c r="J7" s="8"/>
      <c r="K7" s="8"/>
      <c r="L7" s="48"/>
      <c r="M7" s="49"/>
      <c r="N7" s="49"/>
      <c r="O7" s="50"/>
      <c r="P7" s="8"/>
      <c r="Q7" s="8"/>
      <c r="R7" s="8"/>
      <c r="S7" s="8"/>
      <c r="T7" s="8"/>
      <c r="U7" s="8"/>
      <c r="V7" s="8"/>
      <c r="W7" s="8"/>
      <c r="X7" s="8"/>
      <c r="Y7" s="8"/>
      <c r="Z7" s="8"/>
    </row>
    <row r="8" spans="1:26" ht="15.75" customHeight="1" thickBot="1" x14ac:dyDescent="0.3">
      <c r="A8" s="8"/>
      <c r="B8" s="13" t="s">
        <v>20</v>
      </c>
      <c r="C8" s="45" t="s">
        <v>47</v>
      </c>
      <c r="D8" s="46"/>
      <c r="E8" s="46"/>
      <c r="F8" s="47"/>
      <c r="G8" s="8" t="s">
        <v>46</v>
      </c>
      <c r="H8" s="8"/>
      <c r="I8" s="14">
        <v>1</v>
      </c>
      <c r="J8" s="8"/>
      <c r="K8" s="8"/>
      <c r="L8" s="48"/>
      <c r="M8" s="49"/>
      <c r="N8" s="49"/>
      <c r="O8" s="50"/>
      <c r="P8" s="8"/>
      <c r="Q8" s="8"/>
      <c r="R8" s="8"/>
      <c r="S8" s="8"/>
      <c r="T8" s="8"/>
      <c r="U8" s="8"/>
      <c r="V8" s="8"/>
      <c r="W8" s="8"/>
      <c r="X8" s="8"/>
      <c r="Y8" s="8"/>
      <c r="Z8" s="8"/>
    </row>
    <row r="9" spans="1:26" ht="15.75" customHeight="1" thickBot="1" x14ac:dyDescent="0.3">
      <c r="A9" s="8"/>
      <c r="B9" s="15" t="s">
        <v>31</v>
      </c>
      <c r="C9" s="45" t="s">
        <v>80</v>
      </c>
      <c r="D9" s="46"/>
      <c r="E9" s="46"/>
      <c r="F9" s="47"/>
      <c r="G9" s="8" t="s">
        <v>46</v>
      </c>
      <c r="H9" s="8"/>
      <c r="I9" s="14">
        <v>1</v>
      </c>
      <c r="J9" s="8"/>
      <c r="K9" s="16"/>
      <c r="L9" s="48"/>
      <c r="M9" s="49"/>
      <c r="N9" s="49"/>
      <c r="O9" s="50"/>
      <c r="P9" s="8"/>
      <c r="Q9" s="8"/>
      <c r="R9" s="8"/>
      <c r="S9" s="8"/>
      <c r="T9" s="8"/>
      <c r="U9" s="8"/>
      <c r="V9" s="8"/>
      <c r="W9" s="8"/>
      <c r="X9" s="8"/>
      <c r="Y9" s="8"/>
      <c r="Z9" s="8"/>
    </row>
    <row r="10" spans="1:26" ht="15.75" customHeight="1" thickBot="1" x14ac:dyDescent="0.3">
      <c r="A10" s="8"/>
      <c r="B10" s="15"/>
      <c r="C10" s="20"/>
      <c r="D10" s="21"/>
      <c r="E10" s="21"/>
      <c r="F10" s="22"/>
      <c r="G10" s="8"/>
      <c r="H10" s="8"/>
      <c r="I10" s="14"/>
      <c r="J10" s="8"/>
      <c r="K10" s="16"/>
      <c r="L10" s="23"/>
      <c r="M10" s="24"/>
      <c r="N10" s="24"/>
      <c r="O10" s="25"/>
      <c r="P10" s="8"/>
      <c r="Q10" s="8"/>
      <c r="R10" s="8"/>
      <c r="S10" s="8"/>
      <c r="T10" s="8"/>
      <c r="U10" s="8"/>
      <c r="V10" s="8"/>
      <c r="W10" s="8"/>
      <c r="X10" s="8"/>
      <c r="Y10" s="8"/>
      <c r="Z10" s="8"/>
    </row>
    <row r="11" spans="1:26" ht="15.75" customHeight="1" thickBot="1" x14ac:dyDescent="0.3">
      <c r="A11" s="8"/>
      <c r="B11" s="10" t="s">
        <v>36</v>
      </c>
      <c r="C11" s="19" t="s">
        <v>69</v>
      </c>
      <c r="D11" s="10" t="s">
        <v>9</v>
      </c>
      <c r="E11" s="19" t="s">
        <v>70</v>
      </c>
      <c r="F11" s="19" t="s">
        <v>71</v>
      </c>
      <c r="G11" s="10"/>
      <c r="H11" s="10" t="s">
        <v>8</v>
      </c>
      <c r="I11" s="10" t="s">
        <v>86</v>
      </c>
      <c r="J11" s="8"/>
      <c r="K11" s="16"/>
      <c r="L11" s="23"/>
      <c r="M11" s="24"/>
      <c r="N11" s="24"/>
      <c r="O11" s="25"/>
      <c r="P11" s="8"/>
      <c r="Q11" s="8"/>
      <c r="R11" s="8"/>
      <c r="S11" s="8"/>
      <c r="T11" s="8"/>
      <c r="U11" s="8"/>
      <c r="V11" s="8"/>
      <c r="W11" s="8"/>
      <c r="X11" s="8"/>
      <c r="Y11" s="8"/>
      <c r="Z11" s="8"/>
    </row>
    <row r="12" spans="1:26" ht="15.75" customHeight="1" thickBot="1" x14ac:dyDescent="0.3">
      <c r="A12" s="8"/>
      <c r="B12" s="8"/>
      <c r="C12" s="12" t="s">
        <v>15</v>
      </c>
      <c r="D12" s="8"/>
      <c r="E12" s="8"/>
      <c r="F12" s="8"/>
      <c r="G12" s="12" t="s">
        <v>16</v>
      </c>
      <c r="H12" s="8"/>
      <c r="I12" s="12" t="s">
        <v>17</v>
      </c>
      <c r="J12" s="8"/>
      <c r="K12" s="16"/>
      <c r="L12" s="23"/>
      <c r="M12" s="24"/>
      <c r="N12" s="24"/>
      <c r="O12" s="25"/>
      <c r="P12" s="8"/>
      <c r="Q12" s="8"/>
      <c r="R12" s="8"/>
      <c r="S12" s="8"/>
      <c r="T12" s="8"/>
      <c r="U12" s="8"/>
      <c r="V12" s="8"/>
      <c r="W12" s="8"/>
      <c r="X12" s="8"/>
      <c r="Y12" s="8"/>
      <c r="Z12" s="8"/>
    </row>
    <row r="13" spans="1:26" ht="15.75" customHeight="1" thickBot="1" x14ac:dyDescent="0.3">
      <c r="A13" s="8"/>
      <c r="B13" s="17" t="s">
        <v>48</v>
      </c>
      <c r="C13" s="20" t="s">
        <v>73</v>
      </c>
      <c r="D13" s="21"/>
      <c r="E13" s="21"/>
      <c r="F13" s="22"/>
      <c r="G13" s="8" t="s">
        <v>72</v>
      </c>
      <c r="H13" s="8"/>
      <c r="I13" s="14">
        <v>1</v>
      </c>
      <c r="J13" s="8"/>
      <c r="K13" s="16"/>
      <c r="L13" s="23"/>
      <c r="M13" s="24"/>
      <c r="N13" s="24"/>
      <c r="O13" s="25"/>
      <c r="P13" s="8"/>
      <c r="Q13" s="8"/>
      <c r="R13" s="8"/>
      <c r="S13" s="8"/>
      <c r="T13" s="8"/>
      <c r="U13" s="8"/>
      <c r="V13" s="8"/>
      <c r="W13" s="8"/>
      <c r="X13" s="8"/>
      <c r="Y13" s="8"/>
      <c r="Z13" s="8"/>
    </row>
    <row r="14" spans="1:26" ht="15.75" customHeight="1" thickBot="1" x14ac:dyDescent="0.3">
      <c r="A14" s="8"/>
      <c r="B14" s="17" t="s">
        <v>51</v>
      </c>
      <c r="C14" s="20" t="s">
        <v>74</v>
      </c>
      <c r="D14" s="21"/>
      <c r="E14" s="21"/>
      <c r="F14" s="22"/>
      <c r="G14" s="8" t="s">
        <v>72</v>
      </c>
      <c r="H14" s="8"/>
      <c r="I14" s="42">
        <v>1</v>
      </c>
      <c r="J14" s="8"/>
      <c r="K14" s="16"/>
      <c r="L14" s="23"/>
      <c r="M14" s="24"/>
      <c r="N14" s="24"/>
      <c r="O14" s="25"/>
      <c r="P14" s="8"/>
      <c r="Q14" s="8"/>
      <c r="R14" s="8"/>
      <c r="S14" s="8"/>
      <c r="T14" s="8"/>
      <c r="U14" s="8"/>
      <c r="V14" s="8"/>
      <c r="W14" s="8"/>
      <c r="X14" s="8"/>
      <c r="Y14" s="8"/>
      <c r="Z14" s="8"/>
    </row>
    <row r="15" spans="1:26" ht="15.75" customHeight="1" thickBot="1" x14ac:dyDescent="0.3">
      <c r="A15" s="8"/>
      <c r="B15" s="17" t="s">
        <v>53</v>
      </c>
      <c r="C15" s="20" t="s">
        <v>75</v>
      </c>
      <c r="D15" s="21"/>
      <c r="E15" s="21"/>
      <c r="F15" s="22"/>
      <c r="G15" s="8" t="s">
        <v>72</v>
      </c>
      <c r="H15" s="8"/>
      <c r="I15" s="43">
        <v>1</v>
      </c>
      <c r="J15" s="14"/>
      <c r="K15" s="16"/>
      <c r="L15" s="23"/>
      <c r="M15" s="24"/>
      <c r="N15" s="24"/>
      <c r="O15" s="25"/>
      <c r="P15" s="8"/>
      <c r="Q15" s="8"/>
      <c r="R15" s="8"/>
      <c r="S15" s="8"/>
      <c r="T15" s="8"/>
      <c r="U15" s="8"/>
      <c r="V15" s="8"/>
      <c r="W15" s="8"/>
      <c r="X15" s="8"/>
      <c r="Y15" s="8"/>
      <c r="Z15" s="8"/>
    </row>
    <row r="16" spans="1:26" ht="15.75" customHeight="1" thickBot="1" x14ac:dyDescent="0.3">
      <c r="A16" s="8"/>
      <c r="B16" s="13" t="s">
        <v>55</v>
      </c>
      <c r="C16" s="20" t="s">
        <v>76</v>
      </c>
      <c r="D16" s="18"/>
      <c r="E16" s="18"/>
      <c r="F16" s="18"/>
      <c r="G16" s="8" t="s">
        <v>72</v>
      </c>
      <c r="H16" s="8"/>
      <c r="I16" s="14">
        <v>1</v>
      </c>
      <c r="J16" s="8"/>
      <c r="K16" s="16"/>
      <c r="L16" s="23"/>
      <c r="M16" s="24"/>
      <c r="N16" s="24"/>
      <c r="O16" s="25"/>
      <c r="P16" s="8"/>
      <c r="Q16" s="8"/>
      <c r="R16" s="8"/>
      <c r="S16" s="8"/>
      <c r="T16" s="8"/>
      <c r="U16" s="8"/>
      <c r="V16" s="8"/>
      <c r="W16" s="8"/>
      <c r="X16" s="8"/>
      <c r="Y16" s="8"/>
      <c r="Z16" s="8"/>
    </row>
    <row r="17" spans="1:26" ht="15.75" customHeight="1" thickBot="1"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thickBot="1" x14ac:dyDescent="0.3">
      <c r="A18" s="8"/>
      <c r="B18" s="10" t="s">
        <v>40</v>
      </c>
      <c r="C18" s="19" t="s">
        <v>37</v>
      </c>
      <c r="D18" s="10" t="s">
        <v>9</v>
      </c>
      <c r="E18" s="19" t="s">
        <v>38</v>
      </c>
      <c r="F18" s="19" t="s">
        <v>78</v>
      </c>
      <c r="G18" s="19" t="s">
        <v>39</v>
      </c>
      <c r="H18" s="10" t="s">
        <v>8</v>
      </c>
      <c r="I18" s="10" t="s">
        <v>86</v>
      </c>
      <c r="J18" s="8"/>
      <c r="K18" s="8"/>
      <c r="L18" s="8"/>
      <c r="M18" s="8"/>
      <c r="N18" s="8"/>
      <c r="O18" s="8"/>
      <c r="P18" s="8"/>
      <c r="Q18" s="8"/>
      <c r="R18" s="8"/>
      <c r="S18" s="8"/>
      <c r="T18" s="8"/>
      <c r="U18" s="8"/>
      <c r="V18" s="8"/>
      <c r="W18" s="8"/>
      <c r="X18" s="8"/>
      <c r="Y18" s="8"/>
      <c r="Z18" s="8"/>
    </row>
    <row r="19" spans="1:26" ht="15.75" customHeight="1" thickBot="1" x14ac:dyDescent="0.3">
      <c r="A19" s="8"/>
      <c r="B19" s="8"/>
      <c r="C19" s="12" t="s">
        <v>15</v>
      </c>
      <c r="D19" s="8"/>
      <c r="E19" s="8"/>
      <c r="F19" s="8"/>
      <c r="G19" s="12" t="s">
        <v>16</v>
      </c>
      <c r="H19" s="8"/>
      <c r="I19" s="12" t="s">
        <v>17</v>
      </c>
      <c r="J19" s="8"/>
      <c r="K19" s="8"/>
      <c r="L19" s="8"/>
      <c r="M19" s="8"/>
      <c r="N19" s="8"/>
      <c r="O19" s="8"/>
      <c r="P19" s="8"/>
      <c r="Q19" s="8"/>
      <c r="R19" s="8"/>
      <c r="S19" s="8"/>
      <c r="T19" s="8"/>
      <c r="U19" s="8"/>
      <c r="V19" s="8"/>
      <c r="W19" s="8"/>
      <c r="X19" s="8"/>
      <c r="Y19" s="8"/>
      <c r="Z19" s="8"/>
    </row>
    <row r="20" spans="1:26" ht="15.75" customHeight="1" thickBot="1" x14ac:dyDescent="0.3">
      <c r="A20" s="8"/>
      <c r="B20" s="17" t="s">
        <v>56</v>
      </c>
      <c r="C20" s="45" t="s">
        <v>49</v>
      </c>
      <c r="D20" s="46"/>
      <c r="E20" s="46"/>
      <c r="F20" s="47"/>
      <c r="G20" s="8" t="s">
        <v>50</v>
      </c>
      <c r="H20" s="8"/>
      <c r="I20" s="14">
        <v>2</v>
      </c>
      <c r="J20" s="8"/>
      <c r="K20" s="8"/>
      <c r="L20" s="8"/>
      <c r="M20" s="8"/>
      <c r="N20" s="8"/>
      <c r="O20" s="8"/>
      <c r="P20" s="8"/>
      <c r="Q20" s="8"/>
      <c r="R20" s="8"/>
      <c r="S20" s="8"/>
      <c r="T20" s="8"/>
      <c r="U20" s="8"/>
      <c r="V20" s="8"/>
      <c r="W20" s="8"/>
      <c r="X20" s="8"/>
      <c r="Y20" s="8"/>
      <c r="Z20" s="8"/>
    </row>
    <row r="21" spans="1:26" ht="15.75" customHeight="1" thickBot="1" x14ac:dyDescent="0.3">
      <c r="A21" s="8"/>
      <c r="B21" s="17" t="s">
        <v>59</v>
      </c>
      <c r="C21" s="45" t="s">
        <v>52</v>
      </c>
      <c r="D21" s="46"/>
      <c r="E21" s="46"/>
      <c r="F21" s="47"/>
      <c r="G21" s="8" t="s">
        <v>50</v>
      </c>
      <c r="H21" s="8"/>
      <c r="I21" s="14">
        <v>2</v>
      </c>
      <c r="J21" s="8"/>
      <c r="K21" s="8"/>
      <c r="L21" s="8"/>
      <c r="M21" s="8"/>
      <c r="N21" s="8"/>
      <c r="O21" s="8"/>
      <c r="P21" s="8"/>
      <c r="Q21" s="8"/>
      <c r="R21" s="8"/>
      <c r="S21" s="8"/>
      <c r="T21" s="8"/>
      <c r="U21" s="8"/>
      <c r="V21" s="8"/>
      <c r="W21" s="8"/>
      <c r="X21" s="8"/>
      <c r="Y21" s="8"/>
      <c r="Z21" s="8"/>
    </row>
    <row r="22" spans="1:26" ht="15.75" customHeight="1" thickBot="1" x14ac:dyDescent="0.3">
      <c r="A22" s="8"/>
      <c r="B22" s="17" t="s">
        <v>61</v>
      </c>
      <c r="C22" s="45" t="s">
        <v>54</v>
      </c>
      <c r="D22" s="46"/>
      <c r="E22" s="46"/>
      <c r="F22" s="47"/>
      <c r="G22" s="8" t="s">
        <v>50</v>
      </c>
      <c r="H22" s="8"/>
      <c r="I22" s="14">
        <v>1</v>
      </c>
      <c r="J22" s="8"/>
      <c r="K22" s="8"/>
      <c r="L22" s="8"/>
      <c r="M22" s="8"/>
      <c r="N22" s="8"/>
      <c r="O22" s="8"/>
      <c r="P22" s="8"/>
      <c r="Q22" s="8"/>
      <c r="R22" s="8"/>
      <c r="S22" s="8"/>
      <c r="T22" s="8"/>
      <c r="U22" s="8"/>
      <c r="V22" s="8"/>
      <c r="W22" s="8"/>
      <c r="X22" s="8"/>
      <c r="Y22" s="8"/>
      <c r="Z22" s="8"/>
    </row>
    <row r="23" spans="1:26" ht="15.75" customHeight="1" thickBot="1" x14ac:dyDescent="0.3">
      <c r="A23" s="8"/>
      <c r="B23" s="17" t="s">
        <v>63</v>
      </c>
      <c r="C23" s="18" t="s">
        <v>81</v>
      </c>
      <c r="D23" s="18"/>
      <c r="E23" s="18"/>
      <c r="F23" s="18"/>
      <c r="G23" s="8" t="s">
        <v>50</v>
      </c>
      <c r="H23" s="8"/>
      <c r="I23" s="14">
        <v>1</v>
      </c>
      <c r="J23" s="8"/>
      <c r="K23" s="8"/>
      <c r="L23" s="8"/>
      <c r="M23" s="8"/>
      <c r="N23" s="8"/>
      <c r="O23" s="8"/>
      <c r="P23" s="8"/>
      <c r="Q23" s="8"/>
      <c r="R23" s="8"/>
      <c r="S23" s="8"/>
      <c r="T23" s="8"/>
      <c r="U23" s="8"/>
      <c r="V23" s="8"/>
      <c r="W23" s="8"/>
      <c r="X23" s="8"/>
      <c r="Y23" s="8"/>
      <c r="Z23" s="8"/>
    </row>
    <row r="24" spans="1:26" ht="15.75" customHeight="1" thickBo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thickBot="1" x14ac:dyDescent="0.3">
      <c r="A25" s="8"/>
      <c r="B25" s="10" t="s">
        <v>44</v>
      </c>
      <c r="C25" s="19" t="s">
        <v>41</v>
      </c>
      <c r="D25" s="10" t="s">
        <v>9</v>
      </c>
      <c r="E25" s="19" t="s">
        <v>42</v>
      </c>
      <c r="F25" s="19" t="s">
        <v>43</v>
      </c>
      <c r="G25" s="10"/>
      <c r="H25" s="10" t="s">
        <v>8</v>
      </c>
      <c r="I25" s="10" t="s">
        <v>86</v>
      </c>
      <c r="J25" s="8"/>
      <c r="K25" s="8"/>
      <c r="L25" s="8"/>
      <c r="M25" s="8"/>
      <c r="N25" s="8"/>
      <c r="O25" s="8"/>
      <c r="P25" s="8"/>
      <c r="Q25" s="8"/>
      <c r="R25" s="8"/>
      <c r="S25" s="8"/>
      <c r="T25" s="8"/>
      <c r="U25" s="8"/>
      <c r="V25" s="8"/>
      <c r="W25" s="8"/>
      <c r="X25" s="8"/>
      <c r="Y25" s="8"/>
      <c r="Z25" s="8"/>
    </row>
    <row r="26" spans="1:26" ht="15.75" customHeight="1" thickBot="1" x14ac:dyDescent="0.3">
      <c r="A26" s="8"/>
      <c r="B26" s="8"/>
      <c r="C26" s="12" t="s">
        <v>15</v>
      </c>
      <c r="D26" s="8"/>
      <c r="E26" s="8"/>
      <c r="F26" s="8"/>
      <c r="G26" s="12" t="s">
        <v>16</v>
      </c>
      <c r="H26" s="8"/>
      <c r="I26" s="12" t="s">
        <v>17</v>
      </c>
      <c r="J26" s="8"/>
      <c r="K26" s="8"/>
      <c r="L26" s="8"/>
      <c r="M26" s="8"/>
      <c r="N26" s="8"/>
      <c r="O26" s="8"/>
      <c r="P26" s="8"/>
      <c r="Q26" s="8"/>
      <c r="R26" s="8"/>
      <c r="S26" s="8"/>
      <c r="T26" s="8"/>
      <c r="U26" s="8"/>
      <c r="V26" s="8"/>
      <c r="W26" s="8"/>
      <c r="X26" s="8"/>
      <c r="Y26" s="8"/>
      <c r="Z26" s="8"/>
    </row>
    <row r="27" spans="1:26" ht="15.75" customHeight="1" thickBot="1" x14ac:dyDescent="0.3">
      <c r="A27" s="8"/>
      <c r="B27" s="17" t="s">
        <v>64</v>
      </c>
      <c r="C27" s="18" t="s">
        <v>57</v>
      </c>
      <c r="D27" s="8"/>
      <c r="E27" s="8"/>
      <c r="F27" s="8"/>
      <c r="G27" s="8" t="s">
        <v>58</v>
      </c>
      <c r="H27" s="8"/>
      <c r="I27" s="14">
        <v>2</v>
      </c>
      <c r="J27" s="8"/>
      <c r="K27" s="8"/>
      <c r="L27" s="8"/>
      <c r="M27" s="8"/>
      <c r="N27" s="8"/>
      <c r="O27" s="8"/>
      <c r="P27" s="8"/>
      <c r="Q27" s="8"/>
      <c r="R27" s="8"/>
      <c r="S27" s="8"/>
      <c r="T27" s="8"/>
      <c r="U27" s="8"/>
      <c r="V27" s="8"/>
      <c r="W27" s="8"/>
      <c r="X27" s="8"/>
      <c r="Y27" s="8"/>
      <c r="Z27" s="8"/>
    </row>
    <row r="28" spans="1:26" ht="15.75" customHeight="1" thickBot="1" x14ac:dyDescent="0.3">
      <c r="A28" s="8"/>
      <c r="B28" s="17" t="s">
        <v>65</v>
      </c>
      <c r="C28" s="18" t="s">
        <v>60</v>
      </c>
      <c r="D28" s="8"/>
      <c r="E28" s="8"/>
      <c r="F28" s="8"/>
      <c r="G28" s="8" t="s">
        <v>58</v>
      </c>
      <c r="H28" s="8"/>
      <c r="I28" s="14">
        <v>2</v>
      </c>
      <c r="J28" s="8"/>
      <c r="K28" s="8"/>
      <c r="L28" s="8"/>
      <c r="M28" s="8"/>
      <c r="N28" s="8"/>
      <c r="O28" s="8"/>
      <c r="P28" s="8"/>
      <c r="Q28" s="8"/>
      <c r="R28" s="8"/>
      <c r="S28" s="8"/>
      <c r="T28" s="8"/>
      <c r="U28" s="8"/>
      <c r="V28" s="8"/>
      <c r="W28" s="8"/>
      <c r="X28" s="8"/>
      <c r="Y28" s="8"/>
      <c r="Z28" s="8"/>
    </row>
    <row r="29" spans="1:26" ht="15.75" customHeight="1" thickBot="1" x14ac:dyDescent="0.3">
      <c r="A29" s="8"/>
      <c r="B29" s="17" t="s">
        <v>66</v>
      </c>
      <c r="C29" s="18" t="s">
        <v>62</v>
      </c>
      <c r="D29" s="8"/>
      <c r="E29" s="8"/>
      <c r="F29" s="8"/>
      <c r="G29" s="8" t="s">
        <v>58</v>
      </c>
      <c r="H29" s="8"/>
      <c r="I29" s="14">
        <v>1</v>
      </c>
      <c r="J29" s="8"/>
      <c r="K29" s="8"/>
      <c r="L29" s="8"/>
      <c r="M29" s="8"/>
      <c r="N29" s="8"/>
      <c r="O29" s="8"/>
      <c r="P29" s="8"/>
      <c r="Q29" s="8"/>
      <c r="R29" s="8"/>
      <c r="S29" s="8"/>
      <c r="T29" s="8"/>
      <c r="U29" s="8"/>
      <c r="V29" s="8"/>
      <c r="W29" s="8"/>
      <c r="X29" s="8"/>
      <c r="Y29" s="8"/>
      <c r="Z29" s="8"/>
    </row>
    <row r="30" spans="1:26" ht="15.75" customHeight="1" thickBot="1" x14ac:dyDescent="0.3">
      <c r="A30" s="8"/>
      <c r="B30" s="17" t="s">
        <v>67</v>
      </c>
      <c r="C30" s="18" t="s">
        <v>82</v>
      </c>
      <c r="D30" s="8"/>
      <c r="E30" s="8"/>
      <c r="F30" s="8"/>
      <c r="G30" s="8" t="s">
        <v>58</v>
      </c>
      <c r="H30" s="8"/>
      <c r="I30" s="14">
        <v>1</v>
      </c>
      <c r="J30" s="8"/>
      <c r="K30" s="8"/>
      <c r="L30" s="8"/>
      <c r="M30" s="8"/>
      <c r="N30" s="8"/>
      <c r="O30" s="8"/>
      <c r="P30" s="8"/>
      <c r="Q30" s="8"/>
      <c r="R30" s="8"/>
      <c r="S30" s="8"/>
      <c r="T30" s="8"/>
      <c r="U30" s="8"/>
      <c r="V30" s="8"/>
      <c r="W30" s="8"/>
      <c r="X30" s="8"/>
      <c r="Y30" s="8"/>
      <c r="Z30" s="8"/>
    </row>
    <row r="31" spans="1:26" ht="15.75" customHeight="1" thickBo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thickBo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thickBo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thickBo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thickBo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thickBo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thickBo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thickBo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thickBo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thickBo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thickBo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thickBo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thickBo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thickBo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thickBo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thickBo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thickBo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thickBo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thickBo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thickBo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thickBo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thickBo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thickBo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thickBo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thickBo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thickBo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thickBo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thickBo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thickBo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thickBo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thickBo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thickBo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thickBo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thickBo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thickBo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thickBo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thickBo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thickBo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thickBo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thickBo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thickBo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thickBo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thickBo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thickBo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thickBo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thickBo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thickBo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thickBo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thickBo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thickBo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thickBo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thickBo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thickBo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thickBo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thickBo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thickBo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thickBo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thickBo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thickBo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thickBo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thickBo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thickBo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thickBo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thickBo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thickBo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thickBo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thickBo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thickBo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thickBo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thickBo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thickBo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thickBo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thickBo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thickBo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thickBo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thickBo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thickBo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thickBo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thickBo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thickBo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thickBo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thickBo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thickBo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thickBo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thickBo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thickBo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thickBo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thickBo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thickBo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thickBo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thickBo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thickBo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thickBo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thickBo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thickBo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thickBo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thickBo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thickBo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thickBo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thickBo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thickBo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thickBo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thickBo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thickBo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thickBo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thickBo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thickBo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thickBo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thickBo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thickBo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thickBo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thickBo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thickBo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thickBo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thickBo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thickBo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thickBo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thickBo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thickBo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thickBo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thickBo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thickBo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thickBo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thickBo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thickBo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thickBo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thickBo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thickBo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thickBo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thickBo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thickBo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thickBo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thickBo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thickBo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thickBo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thickBo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thickBo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thickBo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thickBo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thickBo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thickBo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thickBo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thickBo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thickBo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thickBo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thickBo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thickBo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thickBo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thickBo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thickBo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thickBo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thickBo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thickBo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thickBo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thickBo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thickBo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thickBo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thickBo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thickBo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thickBo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thickBo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thickBo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thickBo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thickBo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thickBo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thickBo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thickBo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thickBo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thickBo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thickBo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thickBo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thickBo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thickBo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thickBo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thickBo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thickBo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thickBo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thickBo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thickBo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thickBo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thickBo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thickBo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thickBo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thickBo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thickBo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thickBo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thickBo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thickBo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thickBo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thickBo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thickBo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thickBo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thickBo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thickBo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thickBo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thickBo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thickBo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thickBo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thickBo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thickBo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thickBo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thickBo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thickBo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thickBo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thickBo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thickBo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thickBo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thickBo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thickBo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thickBo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thickBo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thickBo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thickBo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thickBo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thickBo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thickBo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thickBo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thickBo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thickBo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thickBo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thickBo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thickBo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thickBo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thickBo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thickBo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thickBo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thickBo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thickBo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thickBo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thickBo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thickBo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thickBo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thickBo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thickBo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thickBo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thickBo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thickBo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thickBo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thickBo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thickBo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thickBo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thickBo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thickBo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thickBo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thickBo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thickBo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thickBo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thickBo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thickBo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thickBo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thickBo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thickBo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thickBo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thickBo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thickBo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thickBo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thickBo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thickBo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thickBo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thickBo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thickBo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thickBo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thickBo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thickBo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thickBo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thickBo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thickBo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thickBo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thickBo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thickBo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thickBo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thickBo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thickBo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thickBo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thickBo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thickBo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thickBo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thickBo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thickBo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thickBot="1"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thickBot="1"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thickBot="1"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thickBot="1"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thickBot="1"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thickBot="1"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thickBot="1"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thickBot="1"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thickBot="1"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thickBot="1"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thickBot="1"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thickBot="1"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thickBot="1"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thickBot="1"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thickBot="1"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thickBot="1"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thickBot="1"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thickBot="1"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thickBot="1"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thickBot="1"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thickBot="1"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thickBot="1"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thickBot="1"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thickBot="1"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thickBot="1"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thickBot="1"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thickBot="1"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thickBot="1"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thickBot="1"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thickBot="1"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thickBot="1"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thickBot="1"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thickBot="1"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thickBot="1"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thickBot="1"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thickBot="1"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thickBot="1"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thickBot="1"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thickBot="1"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thickBot="1"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thickBot="1"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thickBot="1"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thickBot="1"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thickBot="1"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thickBot="1"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thickBot="1"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thickBot="1"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thickBot="1"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thickBot="1"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thickBot="1"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thickBot="1"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thickBot="1"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thickBot="1"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thickBot="1"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thickBot="1"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thickBot="1"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thickBot="1"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thickBot="1"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thickBot="1"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thickBot="1"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thickBot="1"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thickBot="1"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thickBot="1"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thickBot="1"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thickBot="1"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thickBot="1"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thickBot="1"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thickBot="1"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thickBot="1"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thickBot="1"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thickBot="1"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thickBot="1"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thickBot="1"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thickBot="1"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thickBot="1"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thickBot="1"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thickBot="1"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thickBot="1"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thickBot="1"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thickBot="1"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thickBot="1"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thickBot="1"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thickBot="1"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thickBot="1"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thickBot="1"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thickBot="1"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thickBot="1"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thickBot="1"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thickBot="1"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thickBot="1"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thickBot="1"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thickBot="1"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thickBot="1"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thickBot="1"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thickBot="1"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thickBot="1"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thickBot="1"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thickBot="1"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thickBot="1"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thickBot="1"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thickBot="1"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thickBot="1"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thickBot="1"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thickBot="1"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thickBot="1"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thickBot="1"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thickBot="1"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thickBot="1"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thickBot="1"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thickBot="1"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thickBot="1"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thickBot="1"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thickBot="1"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thickBot="1"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thickBot="1"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thickBot="1"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thickBot="1"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thickBot="1"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thickBot="1"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thickBot="1"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thickBot="1"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thickBot="1"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thickBot="1"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thickBot="1"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thickBot="1"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thickBot="1"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thickBot="1"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thickBot="1"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thickBot="1"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thickBot="1"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thickBot="1"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thickBot="1"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thickBot="1"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thickBot="1"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thickBot="1"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thickBot="1"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thickBot="1"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thickBot="1"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thickBot="1"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thickBot="1"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thickBot="1"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thickBot="1"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thickBot="1"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thickBot="1"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thickBot="1"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thickBot="1"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thickBot="1"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thickBot="1"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thickBot="1"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thickBot="1"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thickBot="1"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thickBot="1"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thickBot="1"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thickBot="1"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thickBot="1"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thickBot="1"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thickBot="1"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thickBot="1"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thickBot="1"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thickBot="1"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thickBot="1"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thickBot="1"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thickBot="1"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thickBot="1"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thickBot="1"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thickBot="1"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thickBot="1"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thickBot="1"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thickBot="1"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thickBot="1"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thickBot="1"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thickBot="1"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thickBot="1"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thickBot="1"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thickBot="1"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thickBot="1"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thickBot="1"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thickBot="1"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thickBot="1"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thickBot="1"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thickBot="1"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thickBot="1"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thickBot="1"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thickBot="1"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thickBot="1"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thickBot="1"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thickBot="1"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thickBot="1"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thickBot="1"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thickBot="1"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thickBot="1"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thickBot="1"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thickBot="1"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thickBot="1"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thickBot="1"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thickBot="1"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thickBot="1"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thickBot="1"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thickBot="1"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thickBot="1"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thickBot="1"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thickBot="1"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thickBot="1"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thickBot="1"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thickBot="1"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thickBot="1"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thickBot="1"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thickBot="1"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thickBot="1"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thickBot="1"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thickBot="1"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thickBot="1"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thickBot="1"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thickBot="1"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thickBot="1"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thickBot="1"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thickBot="1"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thickBot="1"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thickBot="1"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thickBot="1"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thickBot="1"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thickBot="1"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thickBot="1"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thickBot="1"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thickBot="1"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thickBot="1"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thickBot="1"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thickBot="1"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thickBot="1"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thickBot="1"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thickBot="1"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thickBot="1"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thickBot="1"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thickBot="1"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thickBot="1"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thickBot="1"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thickBot="1"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thickBot="1"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thickBot="1"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thickBot="1"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thickBot="1"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thickBot="1"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thickBot="1"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thickBot="1"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thickBot="1"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thickBot="1"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thickBot="1"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thickBot="1"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thickBot="1"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thickBot="1"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thickBot="1"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thickBot="1"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thickBot="1"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thickBot="1"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thickBot="1"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thickBot="1"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thickBot="1"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thickBot="1"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thickBot="1"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thickBot="1"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thickBot="1"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thickBot="1"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thickBot="1"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thickBot="1"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thickBot="1"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thickBot="1"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thickBot="1"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thickBot="1"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thickBot="1"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thickBot="1"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thickBot="1"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thickBot="1"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thickBot="1"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thickBot="1"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thickBot="1"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thickBot="1"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thickBot="1"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thickBot="1"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thickBot="1"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thickBot="1"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thickBot="1"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thickBot="1"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thickBot="1"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thickBot="1"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thickBot="1"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thickBot="1"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thickBot="1"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thickBot="1"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thickBot="1"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thickBot="1"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thickBot="1"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thickBot="1"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thickBot="1"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thickBot="1"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thickBot="1" x14ac:dyDescent="0.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thickBot="1" x14ac:dyDescent="0.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thickBot="1" x14ac:dyDescent="0.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thickBot="1" x14ac:dyDescent="0.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thickBot="1" x14ac:dyDescent="0.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thickBot="1" x14ac:dyDescent="0.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thickBot="1" x14ac:dyDescent="0.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thickBot="1" x14ac:dyDescent="0.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thickBot="1" x14ac:dyDescent="0.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thickBot="1" x14ac:dyDescent="0.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thickBot="1" x14ac:dyDescent="0.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thickBot="1" x14ac:dyDescent="0.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thickBot="1" x14ac:dyDescent="0.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thickBot="1" x14ac:dyDescent="0.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thickBot="1" x14ac:dyDescent="0.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thickBot="1" x14ac:dyDescent="0.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thickBot="1" x14ac:dyDescent="0.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thickBot="1" x14ac:dyDescent="0.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thickBot="1" x14ac:dyDescent="0.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thickBot="1" x14ac:dyDescent="0.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thickBot="1" x14ac:dyDescent="0.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thickBot="1" x14ac:dyDescent="0.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thickBot="1" x14ac:dyDescent="0.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thickBot="1" x14ac:dyDescent="0.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thickBot="1" x14ac:dyDescent="0.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thickBot="1" x14ac:dyDescent="0.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thickBot="1" x14ac:dyDescent="0.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thickBot="1" x14ac:dyDescent="0.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thickBot="1" x14ac:dyDescent="0.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thickBot="1" x14ac:dyDescent="0.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thickBot="1" x14ac:dyDescent="0.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thickBot="1" x14ac:dyDescent="0.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thickBot="1" x14ac:dyDescent="0.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thickBot="1" x14ac:dyDescent="0.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thickBot="1" x14ac:dyDescent="0.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thickBot="1" x14ac:dyDescent="0.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thickBot="1" x14ac:dyDescent="0.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thickBot="1" x14ac:dyDescent="0.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thickBot="1" x14ac:dyDescent="0.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thickBot="1" x14ac:dyDescent="0.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thickBot="1" x14ac:dyDescent="0.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thickBot="1" x14ac:dyDescent="0.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thickBot="1" x14ac:dyDescent="0.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thickBot="1" x14ac:dyDescent="0.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thickBot="1" x14ac:dyDescent="0.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thickBot="1" x14ac:dyDescent="0.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thickBot="1" x14ac:dyDescent="0.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thickBot="1" x14ac:dyDescent="0.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thickBot="1" x14ac:dyDescent="0.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thickBot="1" x14ac:dyDescent="0.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thickBot="1" x14ac:dyDescent="0.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thickBot="1" x14ac:dyDescent="0.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thickBot="1" x14ac:dyDescent="0.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thickBot="1" x14ac:dyDescent="0.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thickBot="1" x14ac:dyDescent="0.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thickBot="1" x14ac:dyDescent="0.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thickBot="1" x14ac:dyDescent="0.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thickBot="1" x14ac:dyDescent="0.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thickBot="1" x14ac:dyDescent="0.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thickBot="1" x14ac:dyDescent="0.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thickBot="1" x14ac:dyDescent="0.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thickBot="1" x14ac:dyDescent="0.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thickBot="1" x14ac:dyDescent="0.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thickBot="1" x14ac:dyDescent="0.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thickBot="1" x14ac:dyDescent="0.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thickBot="1" x14ac:dyDescent="0.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thickBot="1" x14ac:dyDescent="0.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thickBot="1" x14ac:dyDescent="0.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thickBot="1" x14ac:dyDescent="0.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thickBot="1" x14ac:dyDescent="0.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thickBot="1" x14ac:dyDescent="0.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thickBot="1" x14ac:dyDescent="0.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thickBot="1" x14ac:dyDescent="0.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thickBot="1" x14ac:dyDescent="0.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thickBot="1" x14ac:dyDescent="0.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thickBot="1" x14ac:dyDescent="0.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thickBot="1" x14ac:dyDescent="0.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thickBot="1" x14ac:dyDescent="0.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thickBot="1" x14ac:dyDescent="0.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thickBot="1" x14ac:dyDescent="0.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thickBot="1" x14ac:dyDescent="0.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thickBot="1" x14ac:dyDescent="0.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thickBot="1" x14ac:dyDescent="0.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thickBot="1" x14ac:dyDescent="0.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thickBot="1" x14ac:dyDescent="0.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thickBot="1" x14ac:dyDescent="0.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thickBot="1" x14ac:dyDescent="0.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thickBot="1" x14ac:dyDescent="0.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thickBot="1" x14ac:dyDescent="0.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thickBot="1" x14ac:dyDescent="0.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thickBot="1" x14ac:dyDescent="0.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thickBot="1" x14ac:dyDescent="0.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thickBot="1" x14ac:dyDescent="0.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thickBot="1" x14ac:dyDescent="0.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thickBot="1" x14ac:dyDescent="0.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thickBot="1" x14ac:dyDescent="0.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thickBot="1" x14ac:dyDescent="0.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thickBot="1" x14ac:dyDescent="0.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thickBot="1" x14ac:dyDescent="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thickBot="1" x14ac:dyDescent="0.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thickBot="1" x14ac:dyDescent="0.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thickBot="1" x14ac:dyDescent="0.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thickBot="1" x14ac:dyDescent="0.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thickBot="1" x14ac:dyDescent="0.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thickBot="1" x14ac:dyDescent="0.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thickBot="1" x14ac:dyDescent="0.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thickBot="1" x14ac:dyDescent="0.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thickBot="1" x14ac:dyDescent="0.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thickBot="1" x14ac:dyDescent="0.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thickBot="1" x14ac:dyDescent="0.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thickBot="1" x14ac:dyDescent="0.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thickBot="1" x14ac:dyDescent="0.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thickBot="1" x14ac:dyDescent="0.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thickBot="1" x14ac:dyDescent="0.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thickBot="1" x14ac:dyDescent="0.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thickBot="1" x14ac:dyDescent="0.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thickBot="1" x14ac:dyDescent="0.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thickBot="1" x14ac:dyDescent="0.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thickBot="1" x14ac:dyDescent="0.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thickBot="1" x14ac:dyDescent="0.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thickBot="1" x14ac:dyDescent="0.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thickBot="1" x14ac:dyDescent="0.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thickBot="1" x14ac:dyDescent="0.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thickBot="1" x14ac:dyDescent="0.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thickBot="1" x14ac:dyDescent="0.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thickBot="1" x14ac:dyDescent="0.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thickBot="1" x14ac:dyDescent="0.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thickBot="1" x14ac:dyDescent="0.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thickBot="1" x14ac:dyDescent="0.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thickBot="1" x14ac:dyDescent="0.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thickBot="1" x14ac:dyDescent="0.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thickBot="1" x14ac:dyDescent="0.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thickBot="1" x14ac:dyDescent="0.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thickBot="1" x14ac:dyDescent="0.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thickBot="1" x14ac:dyDescent="0.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thickBot="1" x14ac:dyDescent="0.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thickBot="1" x14ac:dyDescent="0.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thickBot="1" x14ac:dyDescent="0.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thickBot="1" x14ac:dyDescent="0.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thickBot="1" x14ac:dyDescent="0.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thickBot="1" x14ac:dyDescent="0.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thickBot="1" x14ac:dyDescent="0.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thickBot="1" x14ac:dyDescent="0.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thickBot="1" x14ac:dyDescent="0.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thickBot="1" x14ac:dyDescent="0.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thickBot="1" x14ac:dyDescent="0.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thickBot="1" x14ac:dyDescent="0.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thickBot="1" x14ac:dyDescent="0.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thickBot="1" x14ac:dyDescent="0.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thickBot="1" x14ac:dyDescent="0.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thickBot="1" x14ac:dyDescent="0.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thickBot="1" x14ac:dyDescent="0.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thickBot="1" x14ac:dyDescent="0.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thickBot="1" x14ac:dyDescent="0.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thickBot="1" x14ac:dyDescent="0.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thickBot="1" x14ac:dyDescent="0.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thickBot="1" x14ac:dyDescent="0.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thickBot="1" x14ac:dyDescent="0.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thickBot="1" x14ac:dyDescent="0.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thickBot="1" x14ac:dyDescent="0.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thickBot="1" x14ac:dyDescent="0.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thickBot="1" x14ac:dyDescent="0.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thickBot="1" x14ac:dyDescent="0.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thickBot="1" x14ac:dyDescent="0.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thickBot="1" x14ac:dyDescent="0.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thickBot="1" x14ac:dyDescent="0.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thickBot="1" x14ac:dyDescent="0.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thickBot="1" x14ac:dyDescent="0.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thickBot="1" x14ac:dyDescent="0.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thickBot="1" x14ac:dyDescent="0.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thickBot="1" x14ac:dyDescent="0.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thickBot="1" x14ac:dyDescent="0.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thickBot="1" x14ac:dyDescent="0.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thickBot="1" x14ac:dyDescent="0.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thickBot="1" x14ac:dyDescent="0.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thickBot="1" x14ac:dyDescent="0.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thickBot="1" x14ac:dyDescent="0.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thickBot="1" x14ac:dyDescent="0.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thickBot="1" x14ac:dyDescent="0.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thickBot="1" x14ac:dyDescent="0.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thickBot="1" x14ac:dyDescent="0.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thickBot="1" x14ac:dyDescent="0.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thickBot="1" x14ac:dyDescent="0.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thickBot="1" x14ac:dyDescent="0.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thickBot="1" x14ac:dyDescent="0.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thickBot="1" x14ac:dyDescent="0.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thickBot="1" x14ac:dyDescent="0.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thickBot="1" x14ac:dyDescent="0.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thickBot="1" x14ac:dyDescent="0.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thickBot="1" x14ac:dyDescent="0.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thickBot="1" x14ac:dyDescent="0.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thickBot="1" x14ac:dyDescent="0.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thickBot="1" x14ac:dyDescent="0.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thickBot="1" x14ac:dyDescent="0.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thickBot="1" x14ac:dyDescent="0.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thickBot="1" x14ac:dyDescent="0.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thickBot="1" x14ac:dyDescent="0.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thickBot="1" x14ac:dyDescent="0.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thickBot="1" x14ac:dyDescent="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thickBot="1" x14ac:dyDescent="0.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thickBot="1" x14ac:dyDescent="0.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thickBot="1" x14ac:dyDescent="0.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thickBot="1" x14ac:dyDescent="0.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thickBot="1" x14ac:dyDescent="0.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thickBot="1" x14ac:dyDescent="0.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thickBot="1" x14ac:dyDescent="0.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thickBot="1" x14ac:dyDescent="0.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thickBot="1" x14ac:dyDescent="0.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thickBot="1" x14ac:dyDescent="0.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thickBot="1" x14ac:dyDescent="0.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thickBot="1" x14ac:dyDescent="0.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thickBot="1" x14ac:dyDescent="0.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thickBot="1" x14ac:dyDescent="0.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thickBot="1" x14ac:dyDescent="0.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thickBot="1" x14ac:dyDescent="0.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thickBot="1" x14ac:dyDescent="0.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thickBot="1" x14ac:dyDescent="0.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thickBot="1" x14ac:dyDescent="0.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thickBot="1" x14ac:dyDescent="0.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thickBot="1" x14ac:dyDescent="0.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thickBot="1" x14ac:dyDescent="0.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thickBot="1" x14ac:dyDescent="0.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thickBot="1" x14ac:dyDescent="0.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thickBot="1" x14ac:dyDescent="0.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thickBot="1" x14ac:dyDescent="0.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thickBot="1" x14ac:dyDescent="0.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thickBot="1" x14ac:dyDescent="0.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thickBot="1" x14ac:dyDescent="0.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thickBot="1" x14ac:dyDescent="0.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thickBot="1" x14ac:dyDescent="0.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thickBot="1" x14ac:dyDescent="0.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thickBot="1" x14ac:dyDescent="0.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thickBot="1" x14ac:dyDescent="0.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thickBot="1" x14ac:dyDescent="0.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thickBot="1" x14ac:dyDescent="0.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thickBot="1" x14ac:dyDescent="0.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thickBot="1" x14ac:dyDescent="0.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thickBot="1" x14ac:dyDescent="0.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thickBot="1" x14ac:dyDescent="0.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thickBot="1" x14ac:dyDescent="0.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thickBot="1" x14ac:dyDescent="0.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thickBot="1" x14ac:dyDescent="0.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thickBot="1" x14ac:dyDescent="0.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thickBot="1" x14ac:dyDescent="0.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thickBot="1" x14ac:dyDescent="0.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thickBot="1" x14ac:dyDescent="0.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thickBot="1" x14ac:dyDescent="0.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thickBot="1" x14ac:dyDescent="0.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thickBot="1" x14ac:dyDescent="0.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thickBot="1" x14ac:dyDescent="0.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thickBot="1" x14ac:dyDescent="0.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thickBot="1" x14ac:dyDescent="0.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thickBot="1" x14ac:dyDescent="0.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thickBot="1" x14ac:dyDescent="0.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thickBot="1" x14ac:dyDescent="0.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thickBot="1" x14ac:dyDescent="0.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thickBot="1" x14ac:dyDescent="0.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thickBot="1" x14ac:dyDescent="0.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thickBot="1" x14ac:dyDescent="0.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thickBot="1" x14ac:dyDescent="0.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thickBot="1" x14ac:dyDescent="0.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thickBot="1" x14ac:dyDescent="0.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thickBot="1" x14ac:dyDescent="0.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thickBot="1" x14ac:dyDescent="0.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thickBot="1" x14ac:dyDescent="0.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thickBot="1" x14ac:dyDescent="0.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thickBot="1" x14ac:dyDescent="0.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thickBot="1" x14ac:dyDescent="0.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thickBot="1" x14ac:dyDescent="0.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thickBot="1" x14ac:dyDescent="0.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thickBot="1" x14ac:dyDescent="0.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thickBot="1" x14ac:dyDescent="0.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thickBot="1" x14ac:dyDescent="0.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thickBot="1" x14ac:dyDescent="0.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thickBot="1" x14ac:dyDescent="0.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thickBot="1" x14ac:dyDescent="0.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thickBot="1" x14ac:dyDescent="0.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thickBot="1" x14ac:dyDescent="0.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thickBot="1" x14ac:dyDescent="0.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thickBot="1" x14ac:dyDescent="0.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thickBot="1" x14ac:dyDescent="0.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thickBot="1" x14ac:dyDescent="0.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thickBot="1" x14ac:dyDescent="0.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thickBot="1" x14ac:dyDescent="0.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thickBot="1" x14ac:dyDescent="0.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thickBot="1" x14ac:dyDescent="0.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thickBot="1" x14ac:dyDescent="0.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thickBot="1" x14ac:dyDescent="0.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thickBot="1" x14ac:dyDescent="0.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thickBot="1" x14ac:dyDescent="0.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thickBot="1" x14ac:dyDescent="0.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thickBot="1" x14ac:dyDescent="0.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thickBot="1" x14ac:dyDescent="0.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thickBot="1" x14ac:dyDescent="0.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thickBot="1" x14ac:dyDescent="0.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thickBot="1" x14ac:dyDescent="0.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thickBot="1" x14ac:dyDescent="0.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thickBot="1" x14ac:dyDescent="0.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thickBot="1" x14ac:dyDescent="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thickBot="1" x14ac:dyDescent="0.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thickBot="1" x14ac:dyDescent="0.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thickBot="1" x14ac:dyDescent="0.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thickBot="1" x14ac:dyDescent="0.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thickBot="1" x14ac:dyDescent="0.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thickBot="1" x14ac:dyDescent="0.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thickBot="1" x14ac:dyDescent="0.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thickBot="1" x14ac:dyDescent="0.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thickBot="1" x14ac:dyDescent="0.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thickBot="1" x14ac:dyDescent="0.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thickBot="1" x14ac:dyDescent="0.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thickBot="1" x14ac:dyDescent="0.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thickBot="1" x14ac:dyDescent="0.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thickBot="1" x14ac:dyDescent="0.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thickBot="1" x14ac:dyDescent="0.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thickBot="1" x14ac:dyDescent="0.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thickBot="1" x14ac:dyDescent="0.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thickBot="1" x14ac:dyDescent="0.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thickBot="1" x14ac:dyDescent="0.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thickBot="1" x14ac:dyDescent="0.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thickBot="1" x14ac:dyDescent="0.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thickBot="1" x14ac:dyDescent="0.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thickBot="1" x14ac:dyDescent="0.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thickBot="1" x14ac:dyDescent="0.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thickBot="1" x14ac:dyDescent="0.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thickBot="1" x14ac:dyDescent="0.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thickBot="1" x14ac:dyDescent="0.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thickBot="1" x14ac:dyDescent="0.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thickBot="1" x14ac:dyDescent="0.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thickBot="1" x14ac:dyDescent="0.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thickBot="1" x14ac:dyDescent="0.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thickBot="1" x14ac:dyDescent="0.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thickBot="1" x14ac:dyDescent="0.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thickBot="1" x14ac:dyDescent="0.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thickBot="1" x14ac:dyDescent="0.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thickBot="1" x14ac:dyDescent="0.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thickBot="1" x14ac:dyDescent="0.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thickBot="1" x14ac:dyDescent="0.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thickBot="1" x14ac:dyDescent="0.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thickBot="1" x14ac:dyDescent="0.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thickBot="1" x14ac:dyDescent="0.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thickBot="1" x14ac:dyDescent="0.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thickBot="1" x14ac:dyDescent="0.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thickBot="1" x14ac:dyDescent="0.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thickBot="1" x14ac:dyDescent="0.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thickBot="1" x14ac:dyDescent="0.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thickBot="1" x14ac:dyDescent="0.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thickBot="1" x14ac:dyDescent="0.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thickBot="1" x14ac:dyDescent="0.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thickBot="1" x14ac:dyDescent="0.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thickBot="1" x14ac:dyDescent="0.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thickBot="1" x14ac:dyDescent="0.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thickBot="1" x14ac:dyDescent="0.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thickBot="1" x14ac:dyDescent="0.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thickBot="1" x14ac:dyDescent="0.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thickBot="1" x14ac:dyDescent="0.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thickBot="1" x14ac:dyDescent="0.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thickBot="1" x14ac:dyDescent="0.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thickBot="1" x14ac:dyDescent="0.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 customHeight="1" thickBot="1" x14ac:dyDescent="0.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 customHeight="1" thickBot="1" x14ac:dyDescent="0.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 customHeight="1" thickBot="1" x14ac:dyDescent="0.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 customHeight="1" thickBot="1" x14ac:dyDescent="0.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 customHeight="1" thickBot="1" x14ac:dyDescent="0.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 customHeight="1" thickBot="1" x14ac:dyDescent="0.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 customHeight="1" thickBot="1" x14ac:dyDescent="0.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 customHeight="1" thickBot="1" x14ac:dyDescent="0.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 customHeight="1" thickBot="1" x14ac:dyDescent="0.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 customHeight="1" thickBot="1" x14ac:dyDescent="0.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 customHeight="1" thickBot="1" x14ac:dyDescent="0.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 customHeight="1" thickBot="1" x14ac:dyDescent="0.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 customHeight="1" thickBot="1" x14ac:dyDescent="0.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 customHeight="1" thickBot="1" x14ac:dyDescent="0.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 customHeight="1" thickBot="1" x14ac:dyDescent="0.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 customHeight="1" thickBot="1" x14ac:dyDescent="0.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 customHeight="1" thickBot="1" x14ac:dyDescent="0.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 customHeight="1" thickBot="1" x14ac:dyDescent="0.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 customHeight="1" thickBot="1" x14ac:dyDescent="0.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 customHeight="1" thickBot="1" x14ac:dyDescent="0.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 customHeight="1" thickBot="1" x14ac:dyDescent="0.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 customHeight="1" thickBot="1" x14ac:dyDescent="0.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 customHeight="1" thickBot="1" x14ac:dyDescent="0.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 customHeight="1" thickBot="1" x14ac:dyDescent="0.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 customHeight="1" thickBot="1" x14ac:dyDescent="0.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 customHeight="1" thickBot="1" x14ac:dyDescent="0.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 customHeight="1" thickBot="1" x14ac:dyDescent="0.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 customHeight="1" thickBot="1" x14ac:dyDescent="0.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 customHeight="1" thickBot="1" x14ac:dyDescent="0.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 customHeight="1" thickBot="1" x14ac:dyDescent="0.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 customHeight="1" thickBot="1" x14ac:dyDescent="0.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 customHeight="1" thickBot="1" x14ac:dyDescent="0.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 customHeight="1" thickBot="1" x14ac:dyDescent="0.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 customHeight="1" thickBot="1" x14ac:dyDescent="0.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 customHeight="1" thickBot="1" x14ac:dyDescent="0.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 customHeight="1" thickBot="1" x14ac:dyDescent="0.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 customHeight="1" thickBot="1" x14ac:dyDescent="0.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 customHeight="1" thickBot="1" x14ac:dyDescent="0.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 customHeight="1" thickBot="1" x14ac:dyDescent="0.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5" customHeight="1" thickBot="1" x14ac:dyDescent="0.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5" customHeight="1" thickBot="1" x14ac:dyDescent="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5" customHeight="1" thickBot="1" x14ac:dyDescent="0.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5" customHeight="1" thickBot="1" x14ac:dyDescent="0.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5" customHeight="1" thickBot="1" x14ac:dyDescent="0.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sheetData>
  <mergeCells count="11">
    <mergeCell ref="L6:O6"/>
    <mergeCell ref="L7:O7"/>
    <mergeCell ref="L8:O8"/>
    <mergeCell ref="L9:O9"/>
    <mergeCell ref="C20:F20"/>
    <mergeCell ref="C21:F21"/>
    <mergeCell ref="C22:F22"/>
    <mergeCell ref="C6:F6"/>
    <mergeCell ref="C7:F7"/>
    <mergeCell ref="C8:F8"/>
    <mergeCell ref="C9:F9"/>
  </mergeCells>
  <phoneticPr fontId="10"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85A-B11A-4D97-AE2D-200A2A121A7F}">
  <dimension ref="B4:I24"/>
  <sheetViews>
    <sheetView zoomScale="90" zoomScaleNormal="90" workbookViewId="0">
      <selection activeCell="H25" sqref="H25"/>
    </sheetView>
  </sheetViews>
  <sheetFormatPr baseColWidth="10" defaultRowHeight="13.2" x14ac:dyDescent="0.25"/>
  <cols>
    <col min="1" max="1" width="11.5546875" customWidth="1"/>
    <col min="2" max="2" width="12.6640625" customWidth="1"/>
    <col min="3" max="3" width="65.6640625" customWidth="1"/>
    <col min="4" max="4" width="18.77734375" customWidth="1"/>
    <col min="5" max="5" width="68.5546875" customWidth="1"/>
    <col min="6" max="6" width="90.44140625" customWidth="1"/>
    <col min="7" max="7" width="27.6640625" customWidth="1"/>
    <col min="8" max="8" width="18" customWidth="1"/>
    <col min="9" max="9" width="14.5546875" customWidth="1"/>
  </cols>
  <sheetData>
    <row r="4" spans="2:9" x14ac:dyDescent="0.25">
      <c r="B4" s="35" t="s">
        <v>10</v>
      </c>
      <c r="C4" s="35" t="s">
        <v>0</v>
      </c>
      <c r="D4" s="35" t="s">
        <v>1</v>
      </c>
      <c r="E4" s="35" t="s">
        <v>11</v>
      </c>
      <c r="F4" s="35" t="s">
        <v>12</v>
      </c>
      <c r="G4" s="35" t="s">
        <v>4</v>
      </c>
      <c r="H4" s="35" t="s">
        <v>13</v>
      </c>
      <c r="I4" s="35" t="s">
        <v>14</v>
      </c>
    </row>
    <row r="5" spans="2:9" ht="15.6" customHeight="1" x14ac:dyDescent="0.25">
      <c r="B5" s="36" t="s">
        <v>83</v>
      </c>
      <c r="C5" s="36" t="s">
        <v>87</v>
      </c>
      <c r="D5" s="36" t="s">
        <v>9</v>
      </c>
      <c r="E5" s="36" t="s">
        <v>88</v>
      </c>
      <c r="F5" s="36" t="s">
        <v>106</v>
      </c>
      <c r="G5" s="36"/>
      <c r="H5" s="36" t="s">
        <v>8</v>
      </c>
      <c r="I5" s="36" t="s">
        <v>121</v>
      </c>
    </row>
    <row r="6" spans="2:9" x14ac:dyDescent="0.25">
      <c r="B6" s="37"/>
      <c r="C6" s="38" t="s">
        <v>15</v>
      </c>
      <c r="D6" s="38"/>
      <c r="E6" s="38"/>
      <c r="F6" s="38"/>
      <c r="G6" s="38" t="s">
        <v>16</v>
      </c>
      <c r="H6" s="38"/>
      <c r="I6" s="38" t="s">
        <v>17</v>
      </c>
    </row>
    <row r="7" spans="2:9" ht="13.2" customHeight="1" x14ac:dyDescent="0.25">
      <c r="B7" s="39" t="s">
        <v>98</v>
      </c>
      <c r="C7" s="51" t="s">
        <v>109</v>
      </c>
      <c r="D7" s="51"/>
      <c r="E7" s="51"/>
      <c r="F7" s="51"/>
      <c r="G7" s="37" t="s">
        <v>46</v>
      </c>
      <c r="H7" s="37"/>
      <c r="I7" s="40">
        <v>2</v>
      </c>
    </row>
    <row r="8" spans="2:9" ht="16.2" customHeight="1" x14ac:dyDescent="0.25">
      <c r="B8" s="39" t="s">
        <v>99</v>
      </c>
      <c r="C8" s="52" t="s">
        <v>100</v>
      </c>
      <c r="D8" s="52"/>
      <c r="E8" s="52"/>
      <c r="F8" s="52"/>
      <c r="G8" s="37" t="s">
        <v>46</v>
      </c>
      <c r="H8" s="37"/>
      <c r="I8" s="40">
        <v>2</v>
      </c>
    </row>
    <row r="9" spans="2:9" ht="15" customHeight="1" x14ac:dyDescent="0.25">
      <c r="B9" s="39" t="s">
        <v>101</v>
      </c>
      <c r="C9" s="41" t="s">
        <v>107</v>
      </c>
      <c r="D9" s="41"/>
      <c r="E9" s="41"/>
      <c r="F9" s="41"/>
      <c r="G9" s="37" t="s">
        <v>46</v>
      </c>
      <c r="H9" s="37"/>
      <c r="I9" s="40">
        <v>1</v>
      </c>
    </row>
    <row r="10" spans="2:9" ht="14.4" customHeight="1" x14ac:dyDescent="0.25">
      <c r="B10" s="39" t="s">
        <v>102</v>
      </c>
      <c r="C10" s="51" t="s">
        <v>122</v>
      </c>
      <c r="D10" s="51"/>
      <c r="E10" s="51"/>
      <c r="F10" s="51"/>
      <c r="G10" s="37" t="s">
        <v>46</v>
      </c>
      <c r="H10" s="37"/>
      <c r="I10" s="40">
        <v>1</v>
      </c>
    </row>
    <row r="11" spans="2:9" ht="13.8" customHeight="1" x14ac:dyDescent="0.25">
      <c r="B11" s="39"/>
      <c r="C11" s="51"/>
      <c r="D11" s="51"/>
      <c r="E11" s="51"/>
      <c r="F11" s="51"/>
      <c r="G11" s="37"/>
      <c r="H11" s="37"/>
      <c r="I11" s="37"/>
    </row>
    <row r="12" spans="2:9" ht="15.6" customHeight="1" x14ac:dyDescent="0.25">
      <c r="B12" s="36" t="s">
        <v>84</v>
      </c>
      <c r="C12" s="36" t="s">
        <v>91</v>
      </c>
      <c r="D12" s="36" t="s">
        <v>9</v>
      </c>
      <c r="E12" s="36" t="s">
        <v>92</v>
      </c>
      <c r="F12" s="36" t="s">
        <v>108</v>
      </c>
      <c r="G12" s="36" t="s">
        <v>114</v>
      </c>
      <c r="H12" s="36" t="s">
        <v>8</v>
      </c>
      <c r="I12" s="36" t="s">
        <v>121</v>
      </c>
    </row>
    <row r="13" spans="2:9" ht="15" customHeight="1" x14ac:dyDescent="0.25">
      <c r="B13" s="37"/>
      <c r="C13" s="38" t="s">
        <v>15</v>
      </c>
      <c r="D13" s="38"/>
      <c r="E13" s="38"/>
      <c r="F13" s="38"/>
      <c r="G13" s="38" t="s">
        <v>16</v>
      </c>
      <c r="H13" s="38"/>
      <c r="I13" s="38" t="s">
        <v>17</v>
      </c>
    </row>
    <row r="14" spans="2:9" ht="13.8" customHeight="1" x14ac:dyDescent="0.25">
      <c r="B14" s="39" t="s">
        <v>103</v>
      </c>
      <c r="C14" s="51" t="s">
        <v>110</v>
      </c>
      <c r="D14" s="51"/>
      <c r="E14" s="51"/>
      <c r="F14" s="51"/>
      <c r="G14" s="37" t="s">
        <v>50</v>
      </c>
      <c r="H14" s="37"/>
      <c r="I14" s="40">
        <v>2</v>
      </c>
    </row>
    <row r="15" spans="2:9" ht="14.4" customHeight="1" x14ac:dyDescent="0.25">
      <c r="B15" s="39" t="s">
        <v>104</v>
      </c>
      <c r="C15" s="52" t="s">
        <v>112</v>
      </c>
      <c r="D15" s="52"/>
      <c r="E15" s="52"/>
      <c r="F15" s="52"/>
      <c r="G15" s="37" t="s">
        <v>50</v>
      </c>
      <c r="H15" s="37"/>
      <c r="I15" s="40">
        <v>2</v>
      </c>
    </row>
    <row r="16" spans="2:9" ht="13.2" customHeight="1" x14ac:dyDescent="0.25">
      <c r="B16" s="39" t="s">
        <v>105</v>
      </c>
      <c r="C16" s="51" t="s">
        <v>113</v>
      </c>
      <c r="D16" s="51"/>
      <c r="E16" s="51"/>
      <c r="F16" s="51"/>
      <c r="G16" s="37" t="s">
        <v>50</v>
      </c>
      <c r="H16" s="37"/>
      <c r="I16" s="40">
        <v>1</v>
      </c>
    </row>
    <row r="17" spans="2:9" x14ac:dyDescent="0.25">
      <c r="B17" s="39" t="s">
        <v>111</v>
      </c>
      <c r="C17" t="s">
        <v>123</v>
      </c>
      <c r="G17" s="37" t="s">
        <v>50</v>
      </c>
      <c r="I17" s="40">
        <v>1</v>
      </c>
    </row>
    <row r="19" spans="2:9" x14ac:dyDescent="0.25">
      <c r="B19" s="36" t="s">
        <v>85</v>
      </c>
      <c r="C19" s="36" t="s">
        <v>95</v>
      </c>
      <c r="D19" s="36" t="s">
        <v>9</v>
      </c>
      <c r="E19" s="36" t="s">
        <v>96</v>
      </c>
      <c r="F19" s="36" t="s">
        <v>97</v>
      </c>
      <c r="G19" s="36"/>
      <c r="H19" s="36" t="s">
        <v>8</v>
      </c>
      <c r="I19" s="36" t="s">
        <v>121</v>
      </c>
    </row>
    <row r="20" spans="2:9" x14ac:dyDescent="0.25">
      <c r="B20" s="37"/>
      <c r="C20" s="38" t="s">
        <v>15</v>
      </c>
      <c r="D20" s="38"/>
      <c r="E20" s="38"/>
      <c r="F20" s="38"/>
      <c r="G20" s="38" t="s">
        <v>16</v>
      </c>
      <c r="H20" s="38"/>
      <c r="I20" s="38" t="s">
        <v>17</v>
      </c>
    </row>
    <row r="21" spans="2:9" x14ac:dyDescent="0.25">
      <c r="B21" s="39" t="s">
        <v>117</v>
      </c>
      <c r="C21" s="51" t="s">
        <v>115</v>
      </c>
      <c r="D21" s="51"/>
      <c r="E21" s="51"/>
      <c r="F21" s="51"/>
      <c r="G21" s="37" t="s">
        <v>72</v>
      </c>
      <c r="H21" s="37"/>
      <c r="I21" s="40">
        <v>1</v>
      </c>
    </row>
    <row r="22" spans="2:9" x14ac:dyDescent="0.25">
      <c r="B22" s="39" t="s">
        <v>118</v>
      </c>
      <c r="C22" s="52" t="s">
        <v>124</v>
      </c>
      <c r="D22" s="52"/>
      <c r="E22" s="52"/>
      <c r="F22" s="52"/>
      <c r="G22" s="37" t="s">
        <v>72</v>
      </c>
      <c r="H22" s="37"/>
      <c r="I22" s="40">
        <v>3</v>
      </c>
    </row>
    <row r="23" spans="2:9" x14ac:dyDescent="0.25">
      <c r="B23" s="39" t="s">
        <v>119</v>
      </c>
      <c r="C23" s="51" t="s">
        <v>116</v>
      </c>
      <c r="D23" s="51"/>
      <c r="E23" s="51"/>
      <c r="F23" s="51"/>
      <c r="G23" s="37" t="s">
        <v>72</v>
      </c>
      <c r="H23" s="37"/>
      <c r="I23" s="40">
        <v>1</v>
      </c>
    </row>
    <row r="24" spans="2:9" x14ac:dyDescent="0.25">
      <c r="B24" s="39" t="s">
        <v>120</v>
      </c>
      <c r="C24" s="44" t="s">
        <v>125</v>
      </c>
      <c r="G24" s="37" t="s">
        <v>72</v>
      </c>
      <c r="I24" s="40">
        <v>1</v>
      </c>
    </row>
  </sheetData>
  <mergeCells count="10">
    <mergeCell ref="C7:F7"/>
    <mergeCell ref="C8:F8"/>
    <mergeCell ref="C10:F10"/>
    <mergeCell ref="C11:F11"/>
    <mergeCell ref="C14:F14"/>
    <mergeCell ref="C21:F21"/>
    <mergeCell ref="C22:F22"/>
    <mergeCell ref="C23:F23"/>
    <mergeCell ref="C15:F15"/>
    <mergeCell ref="C16: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85"/>
  <sheetViews>
    <sheetView tabSelected="1" zoomScale="60" zoomScaleNormal="60" workbookViewId="0">
      <selection activeCell="R22" sqref="R22"/>
    </sheetView>
  </sheetViews>
  <sheetFormatPr baseColWidth="10" defaultColWidth="12.5546875" defaultRowHeight="15" customHeight="1" x14ac:dyDescent="0.25"/>
  <cols>
    <col min="1" max="1" width="12.5546875" customWidth="1"/>
    <col min="2" max="2" width="24.6640625" customWidth="1"/>
    <col min="3" max="3" width="12.5546875" customWidth="1"/>
    <col min="4" max="4" width="11.109375" customWidth="1"/>
    <col min="5" max="8" width="12.5546875" customWidth="1"/>
  </cols>
  <sheetData>
    <row r="1" spans="1:11" ht="15.75" customHeight="1" x14ac:dyDescent="0.25"/>
    <row r="2" spans="1:11" ht="15.75" customHeight="1" x14ac:dyDescent="0.25"/>
    <row r="3" spans="1:11" ht="15.75" customHeight="1" x14ac:dyDescent="0.25">
      <c r="B3" s="1"/>
      <c r="C3" s="1" t="s">
        <v>17</v>
      </c>
      <c r="D3" s="1" t="s">
        <v>21</v>
      </c>
      <c r="E3" s="1" t="s">
        <v>22</v>
      </c>
      <c r="F3" s="1" t="s">
        <v>23</v>
      </c>
      <c r="G3" s="1" t="s">
        <v>24</v>
      </c>
      <c r="H3" s="1" t="s">
        <v>25</v>
      </c>
      <c r="I3" s="1" t="s">
        <v>26</v>
      </c>
      <c r="J3" s="1" t="s">
        <v>27</v>
      </c>
      <c r="K3" s="1" t="s">
        <v>28</v>
      </c>
    </row>
    <row r="4" spans="1:11" ht="15.75" customHeight="1" x14ac:dyDescent="0.25">
      <c r="B4" t="s">
        <v>7</v>
      </c>
      <c r="C4" s="6">
        <v>6</v>
      </c>
      <c r="D4">
        <v>0</v>
      </c>
      <c r="E4">
        <v>0</v>
      </c>
      <c r="F4">
        <v>1</v>
      </c>
      <c r="G4">
        <v>1</v>
      </c>
      <c r="H4">
        <v>1</v>
      </c>
      <c r="I4">
        <v>1</v>
      </c>
      <c r="J4">
        <v>2</v>
      </c>
      <c r="K4" s="5">
        <v>6</v>
      </c>
    </row>
    <row r="5" spans="1:11" ht="15.75" customHeight="1" x14ac:dyDescent="0.25">
      <c r="B5" t="s">
        <v>36</v>
      </c>
      <c r="C5" s="6">
        <v>4</v>
      </c>
      <c r="D5">
        <v>0</v>
      </c>
      <c r="E5">
        <v>0</v>
      </c>
      <c r="F5">
        <v>0</v>
      </c>
      <c r="G5">
        <v>1</v>
      </c>
      <c r="H5">
        <v>1</v>
      </c>
      <c r="I5">
        <v>1</v>
      </c>
      <c r="J5">
        <v>1</v>
      </c>
      <c r="K5" s="5">
        <v>4</v>
      </c>
    </row>
    <row r="6" spans="1:11" ht="15.75" customHeight="1" x14ac:dyDescent="0.25">
      <c r="A6" s="1"/>
      <c r="B6" t="s">
        <v>40</v>
      </c>
      <c r="C6" s="6">
        <v>6</v>
      </c>
      <c r="D6">
        <v>1</v>
      </c>
      <c r="E6">
        <v>0</v>
      </c>
      <c r="F6">
        <v>0</v>
      </c>
      <c r="G6">
        <v>1</v>
      </c>
      <c r="H6">
        <v>2</v>
      </c>
      <c r="I6">
        <v>1</v>
      </c>
      <c r="J6">
        <v>2</v>
      </c>
      <c r="K6" s="5">
        <v>6</v>
      </c>
    </row>
    <row r="7" spans="1:11" ht="15.75" customHeight="1" x14ac:dyDescent="0.25">
      <c r="A7" s="1"/>
      <c r="B7" t="s">
        <v>44</v>
      </c>
      <c r="C7" s="6">
        <v>6</v>
      </c>
      <c r="D7">
        <v>2</v>
      </c>
      <c r="E7">
        <v>0</v>
      </c>
      <c r="F7">
        <v>1</v>
      </c>
      <c r="G7">
        <v>1</v>
      </c>
      <c r="H7">
        <v>1</v>
      </c>
      <c r="I7">
        <v>2</v>
      </c>
      <c r="J7">
        <v>1</v>
      </c>
      <c r="K7" s="5">
        <v>6</v>
      </c>
    </row>
    <row r="8" spans="1:11" ht="15.75" customHeight="1" x14ac:dyDescent="0.25">
      <c r="A8" s="1"/>
      <c r="B8" t="s">
        <v>83</v>
      </c>
      <c r="C8" s="6">
        <v>6</v>
      </c>
      <c r="D8">
        <v>0</v>
      </c>
      <c r="E8">
        <v>0</v>
      </c>
      <c r="F8">
        <v>1</v>
      </c>
      <c r="G8">
        <v>1</v>
      </c>
      <c r="H8">
        <v>1</v>
      </c>
      <c r="I8">
        <v>3</v>
      </c>
      <c r="J8">
        <v>0</v>
      </c>
      <c r="K8" s="5">
        <v>6</v>
      </c>
    </row>
    <row r="9" spans="1:11" ht="15.75" customHeight="1" x14ac:dyDescent="0.25">
      <c r="A9" s="1"/>
      <c r="B9" t="s">
        <v>84</v>
      </c>
      <c r="C9" s="6">
        <v>6</v>
      </c>
      <c r="D9">
        <v>0</v>
      </c>
      <c r="E9">
        <v>0</v>
      </c>
      <c r="F9">
        <v>0</v>
      </c>
      <c r="G9">
        <v>2</v>
      </c>
      <c r="H9">
        <v>1</v>
      </c>
      <c r="I9">
        <v>2</v>
      </c>
      <c r="J9">
        <v>1</v>
      </c>
      <c r="K9" s="5">
        <v>6</v>
      </c>
    </row>
    <row r="10" spans="1:11" ht="15.75" customHeight="1" x14ac:dyDescent="0.25">
      <c r="A10" s="1"/>
      <c r="B10" t="s">
        <v>85</v>
      </c>
      <c r="C10" s="6">
        <v>6</v>
      </c>
      <c r="D10">
        <v>0</v>
      </c>
      <c r="E10">
        <v>1</v>
      </c>
      <c r="F10">
        <v>1</v>
      </c>
      <c r="G10">
        <v>1</v>
      </c>
      <c r="H10">
        <v>1</v>
      </c>
      <c r="I10">
        <v>1</v>
      </c>
      <c r="J10">
        <v>1</v>
      </c>
      <c r="K10" s="5">
        <v>6</v>
      </c>
    </row>
    <row r="11" spans="1:11" ht="15.75" customHeight="1" x14ac:dyDescent="0.25"/>
    <row r="12" spans="1:11" ht="15.75" customHeight="1" x14ac:dyDescent="0.45">
      <c r="B12" s="2" t="s">
        <v>29</v>
      </c>
      <c r="C12" s="3">
        <f>SUM(C4:C10)</f>
        <v>40</v>
      </c>
      <c r="D12" s="3">
        <f t="shared" ref="D12:J12" si="0">C12-SUM(D4:D7)</f>
        <v>37</v>
      </c>
      <c r="E12" s="4">
        <f t="shared" si="0"/>
        <v>37</v>
      </c>
      <c r="F12" s="3">
        <f>E12-SUM(F4:F7)</f>
        <v>35</v>
      </c>
      <c r="G12" s="3">
        <f t="shared" si="0"/>
        <v>31</v>
      </c>
      <c r="H12" s="3">
        <f t="shared" si="0"/>
        <v>26</v>
      </c>
      <c r="I12" s="3">
        <f t="shared" si="0"/>
        <v>21</v>
      </c>
      <c r="J12" s="3">
        <f t="shared" si="0"/>
        <v>15</v>
      </c>
    </row>
    <row r="13" spans="1:11" ht="15.75" customHeight="1" x14ac:dyDescent="0.45">
      <c r="B13" s="2" t="s">
        <v>30</v>
      </c>
      <c r="C13" s="3">
        <f>SUM(C4:C10)</f>
        <v>40</v>
      </c>
      <c r="D13" s="3">
        <f>C13-(SUM(C4:C10)/7)</f>
        <v>34.285714285714285</v>
      </c>
      <c r="E13" s="4">
        <f>D13-(SUM(C4:C10)/7)</f>
        <v>28.571428571428569</v>
      </c>
      <c r="F13" s="3">
        <f>E13-(SUM(C4:C10)/7)</f>
        <v>22.857142857142854</v>
      </c>
      <c r="G13" s="3">
        <f>F13-(SUM(C4:C10)/7)</f>
        <v>17.142857142857139</v>
      </c>
      <c r="H13" s="3">
        <f>G13-(SUM(C4:C10)/7)</f>
        <v>11.428571428571423</v>
      </c>
      <c r="I13" s="3">
        <f>H13-(SUM(C4:C10)/7)</f>
        <v>5.7142857142857091</v>
      </c>
      <c r="J13" s="3">
        <f>I13-(SUM(C4:C10)/7)</f>
        <v>0</v>
      </c>
    </row>
    <row r="14" spans="1:11" ht="15.75" customHeight="1" x14ac:dyDescent="0.25"/>
    <row r="15" spans="1:11" ht="15.75" customHeight="1" x14ac:dyDescent="0.25"/>
    <row r="16" spans="1:11" ht="15.75" customHeight="1" x14ac:dyDescent="0.25"/>
    <row r="17" spans="2:5" ht="15.75" customHeight="1" x14ac:dyDescent="0.25"/>
    <row r="18" spans="2:5" ht="15.75" customHeight="1" x14ac:dyDescent="0.25"/>
    <row r="19" spans="2:5" ht="15.75" customHeight="1" x14ac:dyDescent="0.25"/>
    <row r="20" spans="2:5" ht="15.75" customHeight="1" x14ac:dyDescent="0.25"/>
    <row r="21" spans="2:5" ht="15.75" customHeight="1" x14ac:dyDescent="0.25"/>
    <row r="22" spans="2:5" ht="15.75" customHeight="1" x14ac:dyDescent="0.25">
      <c r="B22" s="53" t="s">
        <v>127</v>
      </c>
      <c r="C22" s="53"/>
      <c r="D22" s="53"/>
      <c r="E22" s="53"/>
    </row>
    <row r="23" spans="2:5" ht="15.75" customHeight="1" x14ac:dyDescent="0.25">
      <c r="B23" s="53"/>
      <c r="C23" s="53"/>
      <c r="D23" s="53"/>
      <c r="E23" s="53"/>
    </row>
    <row r="24" spans="2:5" ht="15.75" customHeight="1" x14ac:dyDescent="0.25">
      <c r="B24" s="53"/>
      <c r="C24" s="53"/>
      <c r="D24" s="53"/>
      <c r="E24" s="53"/>
    </row>
    <row r="25" spans="2:5" ht="15.75" customHeight="1" x14ac:dyDescent="0.25">
      <c r="B25" s="53"/>
      <c r="C25" s="53"/>
      <c r="D25" s="53"/>
      <c r="E25" s="53"/>
    </row>
    <row r="26" spans="2:5" ht="15.75" customHeight="1" x14ac:dyDescent="0.25">
      <c r="B26" s="53"/>
      <c r="C26" s="53"/>
      <c r="D26" s="53"/>
      <c r="E26" s="53"/>
    </row>
    <row r="27" spans="2:5" ht="15.75" customHeight="1" x14ac:dyDescent="0.25">
      <c r="B27" s="53"/>
      <c r="C27" s="53"/>
      <c r="D27" s="53"/>
      <c r="E27" s="53"/>
    </row>
    <row r="28" spans="2:5" ht="15.75" customHeight="1" x14ac:dyDescent="0.25">
      <c r="B28" s="53"/>
      <c r="C28" s="53"/>
      <c r="D28" s="53"/>
      <c r="E28" s="53"/>
    </row>
    <row r="29" spans="2:5" ht="15.75" customHeight="1" x14ac:dyDescent="0.25">
      <c r="B29" s="53"/>
      <c r="C29" s="53"/>
      <c r="D29" s="53"/>
      <c r="E29" s="53"/>
    </row>
    <row r="30" spans="2:5" ht="15.75" customHeight="1" x14ac:dyDescent="0.25">
      <c r="B30" s="53"/>
      <c r="C30" s="53"/>
      <c r="D30" s="53"/>
      <c r="E30" s="53"/>
    </row>
    <row r="31" spans="2:5" ht="15.75" customHeight="1" x14ac:dyDescent="0.25">
      <c r="B31" s="53"/>
      <c r="C31" s="53"/>
      <c r="D31" s="53"/>
      <c r="E31" s="53"/>
    </row>
    <row r="32" spans="2:5" ht="15.75" customHeight="1" x14ac:dyDescent="0.25">
      <c r="B32" s="53"/>
      <c r="C32" s="53"/>
      <c r="D32" s="53"/>
      <c r="E32" s="53"/>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1">
    <mergeCell ref="B22:E32"/>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Backlog</vt:lpstr>
      <vt:lpstr>sprint1</vt:lpstr>
      <vt:lpstr>sprint2</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WINDOWS</cp:lastModifiedBy>
  <dcterms:created xsi:type="dcterms:W3CDTF">2023-01-13T00:08:30Z</dcterms:created>
  <dcterms:modified xsi:type="dcterms:W3CDTF">2026-06-25T01:44:07Z</dcterms:modified>
</cp:coreProperties>
</file>