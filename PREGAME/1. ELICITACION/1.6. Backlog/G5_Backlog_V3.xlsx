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FDF714D1-A710-4A9F-8ADD-CA5ADFAD6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  <sheet name="sprint1" sheetId="2" r:id="rId2"/>
    <sheet name="sprint2" sheetId="4" r:id="rId3"/>
    <sheet name="burdonchar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D9" i="3"/>
  <c r="E9" i="3" s="1"/>
  <c r="F9" i="3" s="1"/>
  <c r="G9" i="3" s="1"/>
  <c r="H9" i="3" s="1"/>
  <c r="I9" i="3" s="1"/>
  <c r="J9" i="3" s="1"/>
  <c r="D10" i="3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<sst xmlns="http://schemas.openxmlformats.org/spreadsheetml/2006/main" count="249" uniqueCount="122">
  <si>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</si>
  <si>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</si>
  <si>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</si>
  <si>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</si>
  <si>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</si>
  <si>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</si>
  <si>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</si>
  <si>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</si>
  <si>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</si>
  <si>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Administrador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</si>
  <si>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</si>
  <si>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</si>
  <si>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</si>
  <si>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</si>
  <si>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</si>
  <si>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</si>
  <si>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</si>
  <si>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</si>
  <si>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</si>
  <si>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</si>
  <si>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</si>
  <si>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</si>
  <si>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</si>
  <si>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</si>
  <si>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</si>
  <si>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</si>
  <si>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</si>
  <si>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</si>
  <si>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</si>
  <si>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</si>
  <si>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</si>
  <si>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REQ001-4</t>
  </si>
  <si>
    <t>No iniciado</t>
  </si>
  <si>
    <t>Validar credenciales del administrador</t>
  </si>
  <si>
    <t>Ingresar al sistema con crendenciales unicas del administrador</t>
  </si>
  <si>
    <t>Ingresar al menu del sistema como administrador</t>
  </si>
  <si>
    <t>3 intentos de ingreso al sistema</t>
  </si>
  <si>
    <t>REQ002</t>
  </si>
  <si>
    <t>Almacenamiento de residentes en el sistema</t>
  </si>
  <si>
    <t>Registrar la información personal y de vivienda de cada residente dentro del sistema</t>
  </si>
  <si>
    <t>validar datos antes de guardar</t>
  </si>
  <si>
    <t>REQ003</t>
  </si>
  <si>
    <t>Consulta y filtrado de información de residentes</t>
  </si>
  <si>
    <t>Buscar residentes mediante filtros especificados por el administrador</t>
  </si>
  <si>
    <t>Encontrar el residente mediante parámetros requeridos por el administrador</t>
  </si>
  <si>
    <t>REQ004</t>
  </si>
  <si>
    <t>Crear interfaz de inicio de sesión en Netbeans con lenguaje Java para los campos usuario y contraseña</t>
  </si>
  <si>
    <t>Cristian Suquillo</t>
  </si>
  <si>
    <t>Configurar NoSQLBooster e integrar librerias de conexion MongoDB en Netbeans</t>
  </si>
  <si>
    <t>REQ002-1</t>
  </si>
  <si>
    <t>Crear la interfaz del formulario para el registro de residentes utilizando Netbeans, lenguaje Java</t>
  </si>
  <si>
    <t>Melanie Zuñiga</t>
  </si>
  <si>
    <t>REQ002-2</t>
  </si>
  <si>
    <t>Implementar validaciones de campos obligatorios en el formulario</t>
  </si>
  <si>
    <t>REQ002-3</t>
  </si>
  <si>
    <t>Crear la estructura de la base de datos para almacenar residentes y viviendas en MongoDB</t>
  </si>
  <si>
    <t>REQ002-4</t>
  </si>
  <si>
    <t>REQ003-1</t>
  </si>
  <si>
    <t>Crear la interfaz de busqueda de residentes en Netbeans</t>
  </si>
  <si>
    <t>Paul Villacis</t>
  </si>
  <si>
    <t>REQ003-2</t>
  </si>
  <si>
    <t>Implementar filtros de busqueda por nombre, cedula y numero de vivienda</t>
  </si>
  <si>
    <t>REQ003-3</t>
  </si>
  <si>
    <t>Desarrollar la consulta a la base de datos para obtener los registros coincidentes</t>
  </si>
  <si>
    <t>REQ003-4</t>
  </si>
  <si>
    <t>REQ004-1</t>
  </si>
  <si>
    <t>REQ004-2</t>
  </si>
  <si>
    <t>REQ004-3</t>
  </si>
  <si>
    <t>REQ004-4</t>
  </si>
  <si>
    <t>Diseño de la interfaz de inicio de sesión del administrador</t>
  </si>
  <si>
    <t>Gestion de acceso a módulos del sistema</t>
  </si>
  <si>
    <t>Acceder a los modulos del sistema de manera organizada despued del inicio de sesión</t>
  </si>
  <si>
    <t>Navegar de forma eficiente entre las funcionalidades del sistema</t>
  </si>
  <si>
    <t>Joshep Chisaguano</t>
  </si>
  <si>
    <t>Crear la interfaz principal del sistema en NetBeans con Java para mostrar el menú de módulos</t>
  </si>
  <si>
    <t>Organizar los módulos dentro del menú según su funcionalidad</t>
  </si>
  <si>
    <t>Implementar la navegación entre los diferentes módulos desde el menú principal</t>
  </si>
  <si>
    <t>Verificar que el administrador pueda acceder correctamente a cada módulo después de iniciar sesión</t>
  </si>
  <si>
    <t>Acceder a los modulos del sistema de manera organizada despues del inicio de sesión</t>
  </si>
  <si>
    <t>Garantizar el almacenamiento correcto y acceso a la información de los residentes</t>
  </si>
  <si>
    <t>Creación de la colección del usuario con credenciales en MongoDB</t>
  </si>
  <si>
    <t>Implementar la validacion de las credenciales consultando en la coleccion en MongoDB</t>
  </si>
  <si>
    <t>Programar la conexión y el guardado de datos del formulario en MongoDB mostrándolos en una tabla</t>
  </si>
  <si>
    <t>Mostrar los resultados de la busqueda con un mensaje de confirmacion</t>
  </si>
  <si>
    <t>REQ005</t>
  </si>
  <si>
    <t>REQ006</t>
  </si>
  <si>
    <t>REQ007</t>
  </si>
  <si>
    <t>En revision</t>
  </si>
  <si>
    <t>Control de pagos de alícuotas por vivienda</t>
  </si>
  <si>
    <t>Registrar los pagos mensuales de los residentes asociada a cada vivienda</t>
  </si>
  <si>
    <t xml:space="preserve">Llevar un control claro de los ingresos que son generados por alícuotas </t>
  </si>
  <si>
    <t>realizar busqueda mediante los atributos nombre, cedula y n° de casa</t>
  </si>
  <si>
    <t>Gestión de arriendos de locales, parqueaderos o de la sede social</t>
  </si>
  <si>
    <t>Registrar y administrar los cobros por los diferentes tipos de arriendos</t>
  </si>
  <si>
    <t>Llevar un control claro de los ingresos generados por los arriendos.</t>
  </si>
  <si>
    <t>diferenciar el tipo de arriendo</t>
  </si>
  <si>
    <t>Gestion de multas por imcuplimiento de las reglas del conjunto</t>
  </si>
  <si>
    <t>Registrar las multas especificas a las cuentas de los residentes</t>
  </si>
  <si>
    <t>Controlar multas por asambleas, mingas o mascotas</t>
  </si>
  <si>
    <t>REQ005-1</t>
  </si>
  <si>
    <t>REQ005-2</t>
  </si>
  <si>
    <t>Implementar la funcionalidad para seleccionar al residente y registrar el monto y período de pago</t>
  </si>
  <si>
    <t>REQ005-3</t>
  </si>
  <si>
    <t>Mostrar los pagos registrados en el historial de cada residente</t>
  </si>
  <si>
    <t>REQ005-4</t>
  </si>
  <si>
    <t>REQ006-1</t>
  </si>
  <si>
    <t>REQ006-2</t>
  </si>
  <si>
    <t>REQ006-3</t>
  </si>
  <si>
    <t>Llevar un control claro de los ingresos por alícuotas y consultar el historial de pagos de cada residente</t>
  </si>
  <si>
    <t xml:space="preserve">Desarrollar la conexión en MongoDB para almacenar los pagos realizados </t>
  </si>
  <si>
    <t>Llevar un control claro de los ingresos generados por los arriendos</t>
  </si>
  <si>
    <t>Crear la interfaz de registro de pagos de alícuotas en Netbeans, lenguaje Java</t>
  </si>
  <si>
    <t>Crear la interfaz de registro de arriendos en NetBeans, lenguaje Java</t>
  </si>
  <si>
    <t>REQ006-4</t>
  </si>
  <si>
    <t>Implementar el formulario para registrar arriendos seleccionando residente, tipo de arriendo y valor del pago.</t>
  </si>
  <si>
    <t>Crear la conexión a la base de datos en MongoDB para almacenar los cobros registrados.</t>
  </si>
  <si>
    <t>Mostrar el historial de arriendos y el total recaudado por cada tipo de arriendo en el sistema.</t>
  </si>
  <si>
    <t>diferenciar tipo de arriendo</t>
  </si>
  <si>
    <t>Crear la interfaz de registro de multas en NetBeans, lenguaje Java</t>
  </si>
  <si>
    <t>Configurar el catalogo con los tipos requeridos (asambleas, mingas, mascotas), junto con las tarifas base</t>
  </si>
  <si>
    <t>Crear la estructura de la colección en MongoDB y programar la conexión para almacenar las multas registradas.</t>
  </si>
  <si>
    <t>Mostrar las multas registradas.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</si>
</sst>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rgb="FF000000"/>
      <name val="Inconsolata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4A86E8"/>
      <name val="Arial"/>
      <family val="2"/>
      <scheme val="minor"/>
    </font>
    <font>
      <sz val="10"/>
      <color rgb="FF4472C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285F4"/>
      <name val="Arial"/>
      <family val="2"/>
      <scheme val="minor"/>
    </font>
    <font>
      <sz val="8"/>
      <name val="Arial"/>
      <scheme val="minor"/>
    </font>
    <font>
      <sz val="8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theme="4"/>
      <name val="Calibri"/>
      <family val="2"/>
    </font>
    <font>
      <sz val="10"/>
      <color theme="4"/>
      <name val="Arial"/>
      <scheme val="minor"/>
    </font>
    <font>
      <b/>
      <sz val="10"/>
      <color theme="4"/>
      <name val="Arial"/>
      <family val="2"/>
      <scheme val="minor"/>
    </font>
    <font>
      <sz val="10"/>
      <color rgb="FF0070C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2" fillId="2" borderId="1" xfId="0" applyFont="1" applyFill="1" applyBorder="1"/>
    <xf numFmtId="0" fontId="0" fillId="5" borderId="0" xfId="0" applyFill="1"/>
    <xf numFmtId="0" fontId="0" fillId="4" borderId="0" xfId="0" applyFill="1"/>
    <xf numFmtId="0" fontId="4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7" fillId="6" borderId="3" xfId="0" applyFont="1" applyFill="1" applyBorder="1" applyAlignment="1">
      <alignment wrapText="1"/>
    </xf>
    <xf numFmtId="0" fontId="7" fillId="7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6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wrapText="1"/>
    </xf>
    <xf numFmtId="0" fontId="7" fillId="0" borderId="3" xfId="0" applyFont="1" applyBorder="1"/>
    <xf numFmtId="0" fontId="7" fillId="6" borderId="3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wrapText="1"/>
    </xf>
    <xf numFmtId="0" fontId="11" fillId="0" borderId="7" xfId="0" applyFont="1" applyBorder="1"/>
    <xf numFmtId="0" fontId="12" fillId="0" borderId="7" xfId="0" applyFont="1" applyBorder="1" applyAlignment="1">
      <alignment horizontal="center" wrapText="1"/>
    </xf>
    <xf numFmtId="0" fontId="13" fillId="0" borderId="7" xfId="0" applyFont="1" applyBorder="1"/>
    <xf numFmtId="0" fontId="11" fillId="0" borderId="7" xfId="0" applyFont="1" applyBorder="1" applyAlignment="1">
      <alignment wrapText="1"/>
    </xf>
    <xf numFmtId="0" fontId="14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6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3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right" wrapText="1"/>
    </xf>
    <xf numFmtId="0" fontId="15" fillId="0" borderId="0" xfId="0" applyFont="1"/>
    <xf numFmtId="0" fontId="7" fillId="0" borderId="0" xfId="0" applyFont="1"/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8</c:v>
                </c:pt>
                <c:pt idx="2">
                  <c:v>6.8571428571428577</c:v>
                </c:pt>
                <c:pt idx="3">
                  <c:v>5.7142857142857153</c:v>
                </c:pt>
                <c:pt idx="4">
                  <c:v>4.571428571428573</c:v>
                </c:pt>
                <c:pt idx="5">
                  <c:v>3.4285714285714302</c:v>
                </c:pt>
                <c:pt idx="6">
                  <c:v>2.2857142857142874</c:v>
                </c:pt>
                <c:pt idx="7">
                  <c:v>1.1428571428571446</c:v>
                </c:pt>
                <c:pt idx="8">
                  <c:v>1.7763568394002505E-15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997"/>
  <sheetViews>
    <sheetView tabSelected="1" zoomScale="107" zoomScaleNormal="80" workbookViewId="0">
      <selection activeCell="D12" sqref="D12"/>
    </sheetView>
  </sheetViews>
  <sheetFormatPr baseColWidth="10" defaultColWidth="12.5546875" defaultRowHeight="15" customHeight="1" x14ac:dyDescent="0.25"/>
  <cols>
    <col min="1" max="1" width="8.33203125" customWidth="1"/>
    <col min="2" max="2" width="57.21875" customWidth="1"/>
    <col min="3" max="3" width="13.44140625" customWidth="1"/>
    <col min="4" max="4" width="77.33203125" customWidth="1"/>
    <col min="5" max="5" width="84.21875" customWidth="1"/>
    <col min="6" max="6" width="59.44140625" bestFit="1" customWidth="1"/>
  </cols>
  <sheetData>
    <row r="2" spans="1:8" ht="15.75" customHeight="1" x14ac:dyDescent="0.25">
      <c r="A2" s="26" t="s">
        <v>10</v>
      </c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6" t="s">
        <v>6</v>
      </c>
    </row>
    <row r="3" spans="1:8" ht="16.5" customHeight="1" x14ac:dyDescent="0.3">
      <c r="A3" s="33" t="s">
        <v>7</v>
      </c>
      <c r="B3" s="28" t="s">
        <v>69</v>
      </c>
      <c r="C3" s="29" t="s">
        <v>9</v>
      </c>
      <c r="D3" s="30" t="s">
        <v>34</v>
      </c>
      <c r="E3" s="30" t="s">
        <v>35</v>
      </c>
      <c r="F3" s="30" t="s">
        <v>36</v>
      </c>
      <c r="G3" s="31" t="s">
        <v>8</v>
      </c>
      <c r="H3" s="31" t="s">
        <v>87</v>
      </c>
    </row>
    <row r="4" spans="1:8" ht="15.75" customHeight="1" x14ac:dyDescent="0.3">
      <c r="A4" s="33" t="s">
        <v>37</v>
      </c>
      <c r="B4" s="28" t="s">
        <v>70</v>
      </c>
      <c r="C4" s="29" t="s">
        <v>9</v>
      </c>
      <c r="D4" s="30" t="s">
        <v>78</v>
      </c>
      <c r="E4" s="30" t="s">
        <v>72</v>
      </c>
      <c r="F4" s="34"/>
      <c r="G4" s="31" t="s">
        <v>8</v>
      </c>
      <c r="H4" s="31" t="s">
        <v>87</v>
      </c>
    </row>
    <row r="5" spans="1:8" ht="15.75" customHeight="1" x14ac:dyDescent="0.3">
      <c r="A5" s="33" t="s">
        <v>41</v>
      </c>
      <c r="B5" s="28" t="s">
        <v>38</v>
      </c>
      <c r="C5" s="29" t="s">
        <v>9</v>
      </c>
      <c r="D5" s="30" t="s">
        <v>39</v>
      </c>
      <c r="E5" s="30" t="s">
        <v>79</v>
      </c>
      <c r="F5" s="30" t="s">
        <v>40</v>
      </c>
      <c r="G5" s="31" t="s">
        <v>8</v>
      </c>
      <c r="H5" s="31" t="s">
        <v>87</v>
      </c>
    </row>
    <row r="6" spans="1:8" ht="15.75" customHeight="1" x14ac:dyDescent="0.3">
      <c r="A6" s="33" t="s">
        <v>45</v>
      </c>
      <c r="B6" s="28" t="s">
        <v>42</v>
      </c>
      <c r="C6" s="29" t="s">
        <v>9</v>
      </c>
      <c r="D6" s="30" t="s">
        <v>43</v>
      </c>
      <c r="E6" s="30" t="s">
        <v>44</v>
      </c>
      <c r="F6" s="30" t="s">
        <v>91</v>
      </c>
      <c r="G6" s="31" t="s">
        <v>8</v>
      </c>
      <c r="H6" s="31" t="s">
        <v>87</v>
      </c>
    </row>
    <row r="7" spans="1:8" ht="15.75" customHeight="1" x14ac:dyDescent="0.3">
      <c r="A7" s="30" t="s">
        <v>84</v>
      </c>
      <c r="B7" s="32" t="s">
        <v>88</v>
      </c>
      <c r="C7" s="29" t="s">
        <v>9</v>
      </c>
      <c r="D7" s="30" t="s">
        <v>89</v>
      </c>
      <c r="E7" s="32" t="s">
        <v>90</v>
      </c>
      <c r="F7" s="32"/>
      <c r="G7" s="31" t="s">
        <v>8</v>
      </c>
      <c r="H7" s="31" t="s">
        <v>87</v>
      </c>
    </row>
    <row r="8" spans="1:8" ht="15.75" customHeight="1" x14ac:dyDescent="0.3">
      <c r="A8" s="30" t="s">
        <v>85</v>
      </c>
      <c r="B8" s="30" t="s">
        <v>92</v>
      </c>
      <c r="C8" s="29" t="s">
        <v>9</v>
      </c>
      <c r="D8" s="30" t="s">
        <v>93</v>
      </c>
      <c r="E8" s="30" t="s">
        <v>94</v>
      </c>
      <c r="F8" s="32" t="s">
        <v>95</v>
      </c>
      <c r="G8" s="31" t="s">
        <v>8</v>
      </c>
      <c r="H8" s="31" t="s">
        <v>87</v>
      </c>
    </row>
    <row r="9" spans="1:8" ht="15.75" customHeight="1" x14ac:dyDescent="0.3">
      <c r="A9" s="30" t="s">
        <v>86</v>
      </c>
      <c r="B9" s="32" t="s">
        <v>96</v>
      </c>
      <c r="C9" s="29" t="s">
        <v>9</v>
      </c>
      <c r="D9" s="30" t="s">
        <v>97</v>
      </c>
      <c r="E9" s="32" t="s">
        <v>98</v>
      </c>
      <c r="F9" s="32"/>
      <c r="G9" s="31" t="s">
        <v>8</v>
      </c>
      <c r="H9" s="31" t="s">
        <v>87</v>
      </c>
    </row>
    <row r="10" spans="1:8" ht="15.75" customHeight="1" x14ac:dyDescent="0.25">
      <c r="C10" s="27"/>
    </row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thickBot="1" x14ac:dyDescent="0.3"/>
    <row r="15" spans="1:8" ht="15.75" customHeight="1" thickBot="1" x14ac:dyDescent="0.3">
      <c r="C15" s="7"/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6"/>
  <sheetViews>
    <sheetView zoomScale="81" zoomScaleNormal="90" workbookViewId="0">
      <selection activeCell="J30" sqref="J30"/>
    </sheetView>
  </sheetViews>
  <sheetFormatPr baseColWidth="10" defaultColWidth="12.5546875" defaultRowHeight="15" customHeight="1" x14ac:dyDescent="0.25"/>
  <cols>
    <col min="1" max="2" width="12.5546875" customWidth="1"/>
    <col min="3" max="3" width="35.109375" customWidth="1"/>
    <col min="4" max="4" width="20.44140625" bestFit="1" customWidth="1"/>
    <col min="5" max="5" width="41.33203125" bestFit="1" customWidth="1"/>
    <col min="6" max="6" width="56.109375" customWidth="1"/>
    <col min="7" max="7" width="29" bestFit="1" customWidth="1"/>
  </cols>
  <sheetData>
    <row r="1" spans="1:26" ht="15.75" customHeight="1" thickBo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thickBo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thickBot="1" x14ac:dyDescent="0.3">
      <c r="A3" s="8"/>
      <c r="B3" s="9" t="s">
        <v>10</v>
      </c>
      <c r="C3" s="9" t="s">
        <v>0</v>
      </c>
      <c r="D3" s="9" t="s">
        <v>1</v>
      </c>
      <c r="E3" s="9" t="s">
        <v>11</v>
      </c>
      <c r="F3" s="9" t="s">
        <v>12</v>
      </c>
      <c r="G3" s="9" t="s">
        <v>4</v>
      </c>
      <c r="H3" s="9" t="s">
        <v>13</v>
      </c>
      <c r="I3" s="9" t="s">
        <v>14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thickBot="1" x14ac:dyDescent="0.3">
      <c r="A4" s="8"/>
      <c r="B4" s="10" t="s">
        <v>7</v>
      </c>
      <c r="C4" s="19" t="s">
        <v>33</v>
      </c>
      <c r="D4" s="10" t="s">
        <v>9</v>
      </c>
      <c r="E4" s="19" t="s">
        <v>34</v>
      </c>
      <c r="F4" s="19" t="s">
        <v>35</v>
      </c>
      <c r="G4" s="10"/>
      <c r="H4" s="10" t="s">
        <v>8</v>
      </c>
      <c r="I4" s="10" t="s">
        <v>87</v>
      </c>
      <c r="J4" s="8"/>
      <c r="K4" s="11"/>
      <c r="L4" s="11"/>
      <c r="M4" s="11"/>
      <c r="N4" s="11"/>
      <c r="O4" s="11"/>
      <c r="P4" s="11"/>
      <c r="Q4" s="11"/>
      <c r="R4" s="11"/>
      <c r="S4" s="8"/>
      <c r="T4" s="8"/>
      <c r="U4" s="8"/>
      <c r="V4" s="8"/>
      <c r="W4" s="8"/>
      <c r="X4" s="8"/>
      <c r="Y4" s="8"/>
      <c r="Z4" s="8"/>
    </row>
    <row r="5" spans="1:26" ht="15.75" customHeight="1" thickBot="1" x14ac:dyDescent="0.3">
      <c r="A5" s="8"/>
      <c r="B5" s="8"/>
      <c r="C5" s="12" t="s">
        <v>15</v>
      </c>
      <c r="D5" s="8"/>
      <c r="E5" s="8"/>
      <c r="F5" s="8"/>
      <c r="G5" s="12" t="s">
        <v>16</v>
      </c>
      <c r="H5" s="8"/>
      <c r="I5" s="12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thickBot="1" x14ac:dyDescent="0.3">
      <c r="A6" s="8"/>
      <c r="B6" s="13" t="s">
        <v>18</v>
      </c>
      <c r="C6" s="47" t="s">
        <v>46</v>
      </c>
      <c r="D6" s="48"/>
      <c r="E6" s="48"/>
      <c r="F6" s="49"/>
      <c r="G6" s="8" t="s">
        <v>47</v>
      </c>
      <c r="H6" s="8"/>
      <c r="I6" s="14">
        <v>2</v>
      </c>
      <c r="J6" s="8"/>
      <c r="K6" s="8"/>
      <c r="L6" s="44"/>
      <c r="M6" s="45"/>
      <c r="N6" s="45"/>
      <c r="O6" s="46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thickBot="1" x14ac:dyDescent="0.3">
      <c r="A7" s="8"/>
      <c r="B7" s="13" t="s">
        <v>19</v>
      </c>
      <c r="C7" s="47" t="s">
        <v>80</v>
      </c>
      <c r="D7" s="48"/>
      <c r="E7" s="48"/>
      <c r="F7" s="49"/>
      <c r="G7" s="8" t="s">
        <v>47</v>
      </c>
      <c r="H7" s="8"/>
      <c r="I7" s="14">
        <v>2</v>
      </c>
      <c r="J7" s="8"/>
      <c r="K7" s="8"/>
      <c r="L7" s="44"/>
      <c r="M7" s="45"/>
      <c r="N7" s="45"/>
      <c r="O7" s="46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thickBot="1" x14ac:dyDescent="0.3">
      <c r="A8" s="8"/>
      <c r="B8" s="13" t="s">
        <v>20</v>
      </c>
      <c r="C8" s="47" t="s">
        <v>48</v>
      </c>
      <c r="D8" s="48"/>
      <c r="E8" s="48"/>
      <c r="F8" s="49"/>
      <c r="G8" s="8" t="s">
        <v>47</v>
      </c>
      <c r="H8" s="8"/>
      <c r="I8" s="14">
        <v>1</v>
      </c>
      <c r="J8" s="8"/>
      <c r="K8" s="8"/>
      <c r="L8" s="44"/>
      <c r="M8" s="45"/>
      <c r="N8" s="45"/>
      <c r="O8" s="46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thickBot="1" x14ac:dyDescent="0.3">
      <c r="A9" s="8"/>
      <c r="B9" s="15" t="s">
        <v>31</v>
      </c>
      <c r="C9" s="47" t="s">
        <v>81</v>
      </c>
      <c r="D9" s="48"/>
      <c r="E9" s="48"/>
      <c r="F9" s="49"/>
      <c r="G9" s="8" t="s">
        <v>47</v>
      </c>
      <c r="H9" s="8"/>
      <c r="I9" s="14">
        <v>1</v>
      </c>
      <c r="J9" s="8"/>
      <c r="K9" s="16"/>
      <c r="L9" s="44"/>
      <c r="M9" s="45"/>
      <c r="N9" s="45"/>
      <c r="O9" s="46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thickBot="1" x14ac:dyDescent="0.3">
      <c r="A10" s="8"/>
      <c r="B10" s="15"/>
      <c r="C10" s="20"/>
      <c r="D10" s="21"/>
      <c r="E10" s="21"/>
      <c r="F10" s="22"/>
      <c r="G10" s="8"/>
      <c r="H10" s="8"/>
      <c r="I10" s="14"/>
      <c r="J10" s="8"/>
      <c r="K10" s="16"/>
      <c r="L10" s="23"/>
      <c r="M10" s="24"/>
      <c r="N10" s="24"/>
      <c r="O10" s="25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thickBot="1" x14ac:dyDescent="0.3">
      <c r="A11" s="8"/>
      <c r="B11" s="10" t="s">
        <v>37</v>
      </c>
      <c r="C11" s="19" t="s">
        <v>70</v>
      </c>
      <c r="D11" s="10" t="s">
        <v>9</v>
      </c>
      <c r="E11" s="19" t="s">
        <v>71</v>
      </c>
      <c r="F11" s="19" t="s">
        <v>72</v>
      </c>
      <c r="G11" s="10"/>
      <c r="H11" s="10" t="s">
        <v>8</v>
      </c>
      <c r="I11" s="10" t="s">
        <v>87</v>
      </c>
      <c r="J11" s="8"/>
      <c r="K11" s="16"/>
      <c r="L11" s="23"/>
      <c r="M11" s="24"/>
      <c r="N11" s="24"/>
      <c r="O11" s="25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thickBot="1" x14ac:dyDescent="0.3">
      <c r="A12" s="8"/>
      <c r="B12" s="8"/>
      <c r="C12" s="12" t="s">
        <v>15</v>
      </c>
      <c r="D12" s="8"/>
      <c r="E12" s="8"/>
      <c r="F12" s="8"/>
      <c r="G12" s="12" t="s">
        <v>16</v>
      </c>
      <c r="H12" s="8"/>
      <c r="I12" s="12" t="s">
        <v>17</v>
      </c>
      <c r="J12" s="8"/>
      <c r="K12" s="16"/>
      <c r="L12" s="23"/>
      <c r="M12" s="24"/>
      <c r="N12" s="24"/>
      <c r="O12" s="25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thickBot="1" x14ac:dyDescent="0.3">
      <c r="A13" s="8"/>
      <c r="B13" s="17" t="s">
        <v>49</v>
      </c>
      <c r="C13" s="20" t="s">
        <v>74</v>
      </c>
      <c r="D13" s="21"/>
      <c r="E13" s="21"/>
      <c r="F13" s="22"/>
      <c r="G13" s="8" t="s">
        <v>73</v>
      </c>
      <c r="H13" s="8"/>
      <c r="I13" s="14">
        <v>1</v>
      </c>
      <c r="J13" s="8"/>
      <c r="K13" s="16"/>
      <c r="L13" s="23"/>
      <c r="M13" s="24"/>
      <c r="N13" s="24"/>
      <c r="O13" s="2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thickBot="1" x14ac:dyDescent="0.3">
      <c r="A14" s="8"/>
      <c r="B14" s="17" t="s">
        <v>52</v>
      </c>
      <c r="C14" s="20" t="s">
        <v>75</v>
      </c>
      <c r="D14" s="21"/>
      <c r="E14" s="21"/>
      <c r="F14" s="22"/>
      <c r="G14" s="8" t="s">
        <v>73</v>
      </c>
      <c r="H14" s="8"/>
      <c r="I14" s="51">
        <v>1</v>
      </c>
      <c r="J14" s="8"/>
      <c r="K14" s="16"/>
      <c r="L14" s="23"/>
      <c r="M14" s="24"/>
      <c r="N14" s="24"/>
      <c r="O14" s="25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thickBot="1" x14ac:dyDescent="0.3">
      <c r="A15" s="8"/>
      <c r="B15" s="17" t="s">
        <v>54</v>
      </c>
      <c r="C15" s="20" t="s">
        <v>76</v>
      </c>
      <c r="D15" s="21"/>
      <c r="E15" s="21"/>
      <c r="F15" s="22"/>
      <c r="G15" s="8" t="s">
        <v>73</v>
      </c>
      <c r="H15" s="8"/>
      <c r="I15" s="52">
        <v>1</v>
      </c>
      <c r="J15" s="14"/>
      <c r="K15" s="16"/>
      <c r="L15" s="23"/>
      <c r="M15" s="24"/>
      <c r="N15" s="24"/>
      <c r="O15" s="25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thickBot="1" x14ac:dyDescent="0.3">
      <c r="A16" s="8"/>
      <c r="B16" s="13" t="s">
        <v>56</v>
      </c>
      <c r="C16" s="20" t="s">
        <v>77</v>
      </c>
      <c r="D16" s="18"/>
      <c r="E16" s="18"/>
      <c r="F16" s="18"/>
      <c r="G16" s="8" t="s">
        <v>73</v>
      </c>
      <c r="H16" s="8"/>
      <c r="I16" s="14">
        <v>1</v>
      </c>
      <c r="J16" s="8"/>
      <c r="K16" s="16"/>
      <c r="L16" s="23"/>
      <c r="M16" s="24"/>
      <c r="N16" s="24"/>
      <c r="O16" s="25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thickBo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thickBot="1" x14ac:dyDescent="0.3">
      <c r="A18" s="8"/>
      <c r="B18" s="10" t="s">
        <v>41</v>
      </c>
      <c r="C18" s="19" t="s">
        <v>38</v>
      </c>
      <c r="D18" s="10" t="s">
        <v>9</v>
      </c>
      <c r="E18" s="19" t="s">
        <v>39</v>
      </c>
      <c r="F18" s="19" t="s">
        <v>79</v>
      </c>
      <c r="G18" s="19" t="s">
        <v>40</v>
      </c>
      <c r="H18" s="10" t="s">
        <v>8</v>
      </c>
      <c r="I18" s="10" t="s">
        <v>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thickBot="1" x14ac:dyDescent="0.3">
      <c r="A19" s="8"/>
      <c r="B19" s="8"/>
      <c r="C19" s="12" t="s">
        <v>15</v>
      </c>
      <c r="D19" s="8"/>
      <c r="E19" s="8"/>
      <c r="F19" s="8"/>
      <c r="G19" s="12" t="s">
        <v>16</v>
      </c>
      <c r="H19" s="8"/>
      <c r="I19" s="12" t="s">
        <v>17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thickBot="1" x14ac:dyDescent="0.3">
      <c r="A20" s="8"/>
      <c r="B20" s="17" t="s">
        <v>57</v>
      </c>
      <c r="C20" s="47" t="s">
        <v>50</v>
      </c>
      <c r="D20" s="48"/>
      <c r="E20" s="48"/>
      <c r="F20" s="49"/>
      <c r="G20" s="8" t="s">
        <v>51</v>
      </c>
      <c r="H20" s="8"/>
      <c r="I20" s="14">
        <v>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thickBot="1" x14ac:dyDescent="0.3">
      <c r="A21" s="8"/>
      <c r="B21" s="17" t="s">
        <v>60</v>
      </c>
      <c r="C21" s="47" t="s">
        <v>53</v>
      </c>
      <c r="D21" s="48"/>
      <c r="E21" s="48"/>
      <c r="F21" s="49"/>
      <c r="G21" s="8" t="s">
        <v>51</v>
      </c>
      <c r="H21" s="8"/>
      <c r="I21" s="14">
        <v>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thickBot="1" x14ac:dyDescent="0.3">
      <c r="A22" s="8"/>
      <c r="B22" s="17" t="s">
        <v>62</v>
      </c>
      <c r="C22" s="47" t="s">
        <v>55</v>
      </c>
      <c r="D22" s="48"/>
      <c r="E22" s="48"/>
      <c r="F22" s="49"/>
      <c r="G22" s="8" t="s">
        <v>51</v>
      </c>
      <c r="H22" s="8"/>
      <c r="I22" s="14">
        <v>1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thickBot="1" x14ac:dyDescent="0.3">
      <c r="A23" s="8"/>
      <c r="B23" s="17" t="s">
        <v>64</v>
      </c>
      <c r="C23" s="18" t="s">
        <v>82</v>
      </c>
      <c r="D23" s="18"/>
      <c r="E23" s="18"/>
      <c r="F23" s="18"/>
      <c r="G23" s="8" t="s">
        <v>51</v>
      </c>
      <c r="H23" s="8"/>
      <c r="I23" s="14">
        <v>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thickBo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thickBot="1" x14ac:dyDescent="0.3">
      <c r="A25" s="8"/>
      <c r="B25" s="10" t="s">
        <v>45</v>
      </c>
      <c r="C25" s="19" t="s">
        <v>42</v>
      </c>
      <c r="D25" s="10" t="s">
        <v>9</v>
      </c>
      <c r="E25" s="19" t="s">
        <v>43</v>
      </c>
      <c r="F25" s="19" t="s">
        <v>44</v>
      </c>
      <c r="G25" s="10"/>
      <c r="H25" s="10" t="s">
        <v>8</v>
      </c>
      <c r="I25" s="10" t="s">
        <v>87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thickBot="1" x14ac:dyDescent="0.3">
      <c r="A26" s="8"/>
      <c r="B26" s="8"/>
      <c r="C26" s="12" t="s">
        <v>15</v>
      </c>
      <c r="D26" s="8"/>
      <c r="E26" s="8"/>
      <c r="F26" s="8"/>
      <c r="G26" s="12" t="s">
        <v>16</v>
      </c>
      <c r="H26" s="8"/>
      <c r="I26" s="12" t="s">
        <v>17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thickBot="1" x14ac:dyDescent="0.3">
      <c r="A27" s="8"/>
      <c r="B27" s="17" t="s">
        <v>65</v>
      </c>
      <c r="C27" s="18" t="s">
        <v>58</v>
      </c>
      <c r="D27" s="8"/>
      <c r="E27" s="8"/>
      <c r="F27" s="8"/>
      <c r="G27" s="8" t="s">
        <v>59</v>
      </c>
      <c r="H27" s="8"/>
      <c r="I27" s="14">
        <v>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thickBot="1" x14ac:dyDescent="0.3">
      <c r="A28" s="8"/>
      <c r="B28" s="17" t="s">
        <v>66</v>
      </c>
      <c r="C28" s="18" t="s">
        <v>61</v>
      </c>
      <c r="D28" s="8"/>
      <c r="E28" s="8"/>
      <c r="F28" s="8"/>
      <c r="G28" s="8" t="s">
        <v>59</v>
      </c>
      <c r="H28" s="8"/>
      <c r="I28" s="14">
        <v>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thickBot="1" x14ac:dyDescent="0.3">
      <c r="A29" s="8"/>
      <c r="B29" s="17" t="s">
        <v>67</v>
      </c>
      <c r="C29" s="18" t="s">
        <v>63</v>
      </c>
      <c r="D29" s="8"/>
      <c r="E29" s="8"/>
      <c r="F29" s="8"/>
      <c r="G29" s="8" t="s">
        <v>59</v>
      </c>
      <c r="H29" s="8"/>
      <c r="I29" s="14">
        <v>1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thickBot="1" x14ac:dyDescent="0.3">
      <c r="A30" s="8"/>
      <c r="B30" s="17" t="s">
        <v>68</v>
      </c>
      <c r="C30" s="18" t="s">
        <v>83</v>
      </c>
      <c r="D30" s="8"/>
      <c r="E30" s="8"/>
      <c r="F30" s="8"/>
      <c r="G30" s="8" t="s">
        <v>59</v>
      </c>
      <c r="H30" s="8"/>
      <c r="I30" s="14">
        <v>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thickBo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thickBo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thickBo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thickBo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thickBo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thickBo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thickBo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thickBo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thickBo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thickBo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thickBo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thickBo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thickBo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thickBo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thickBo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thickBo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thickBo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thickBo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thickBo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thickBo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thickBo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thickBo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thickBo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thickBo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thickBo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thickBo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thickBo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thickBot="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thickBo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thickBot="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thickBot="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thickBot="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thickBot="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thickBot="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thickBot="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thickBot="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thickBot="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thickBot="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thickBot="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thickBot="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thickBot="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thickBot="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thickBo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thickBot="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thickBot="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thickBot="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thickBo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thickBo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thickBo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thickBot="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thickBot="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thickBot="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thickBot="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thickBot="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thickBot="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thickBot="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thickBot="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thickBot="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thickBot="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thickBot="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thickBot="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thickBot="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thickBot="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thickBot="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thickBot="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thickBo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thickBo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thickBo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thickBot="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thickBot="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thickBot="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thickBot="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thickBot="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thickBot="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thickBot="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thickBot="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thickBot="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thickBot="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thickBot="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thickBot="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thickBot="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thickBot="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thickBot="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thickBot="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thickBot="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thickBot="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thickBot="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thickBot="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thickBot="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thickBot="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thickBot="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thickBot="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thickBot="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thickBot="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thickBot="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thickBot="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thickBot="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thickBot="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thickBo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thickBo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thickBo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thickBo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thickBot="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thickBot="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thickBot="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thickBot="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thickBot="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thickBot="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thickBot="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thickBot="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thickBot="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thickBot="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thickBot="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thickBot="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thickBot="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thickBot="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thickBot="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thickBot="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thickBot="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thickBot="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thickBot="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thickBot="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thickBot="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thickBot="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thickBot="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thickBot="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thickBot="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thickBot="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thickBot="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thickBot="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thickBot="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thickBot="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thickBot="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thickBot="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thickBot="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thickBot="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thickBot="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thickBot="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thickBot="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thickBot="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thickBot="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thickBot="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thickBot="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thickBot="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thickBot="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thickBot="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thickBo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thickBot="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thickBot="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thickBot="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thickBot="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thickBo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thickBot="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thickBot="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thickBot="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thickBot="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thickBot="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thickBot="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thickBot="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thickBot="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thickBot="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thickBot="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thickBot="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thickBo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thickBot="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thickBot="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thickBot="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thickBot="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thickBot="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thickBot="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thickBot="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thickBot="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thickBot="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thickBot="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thickBot="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thickBot="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thickBot="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thickBot="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thickBot="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thickBot="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thickBot="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thickBot="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thickBot="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thickBot="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thickBot="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thickBot="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thickBot="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thickBot="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thickBot="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thickBot="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thickBot="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thickBot="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thickBot="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thickBot="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thickBot="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thickBot="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thickBot="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thickBot="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thickBot="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thickBot="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thickBot="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thickBot="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thickBot="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thickBot="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thickBot="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thickBot="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thickBot="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thickBot="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thickBot="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thickBot="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thickBot="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thickBot="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thickBot="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thickBot="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thickBot="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thickBot="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thickBot="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thickBot="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thickBot="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thickBot="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thickBot="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thickBot="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thickBot="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thickBot="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thickBot="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thickBot="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thickBot="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thickBot="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thickBot="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thickBot="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thickBot="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thickBot="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thickBot="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thickBot="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thickBot="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thickBot="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thickBot="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thickBot="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thickBot="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thickBot="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thickBot="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thickBot="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thickBot="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thickBot="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thickBot="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thickBot="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thickBot="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thickBot="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thickBot="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thickBot="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thickBot="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thickBot="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thickBot="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thickBot="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thickBot="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thickBot="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thickBot="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thickBot="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thickBot="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thickBot="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thickBot="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thickBot="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thickBot="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thickBot="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thickBot="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thickBot="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thickBot="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thickBot="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thickBot="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thickBot="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thickBot="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thickBot="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thickBot="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thickBot="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thickBot="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thickBot="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thickBot="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thickBot="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thickBot="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thickBot="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thickBot="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thickBot="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thickBot="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thickBot="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thickBot="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thickBot="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thickBot="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thickBot="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thickBot="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thickBot="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thickBot="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thickBot="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thickBot="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thickBot="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thickBot="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thickBot="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thickBot="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thickBot="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thickBot="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thickBot="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thickBot="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thickBot="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thickBot="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thickBot="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thickBot="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thickBot="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thickBot="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thickBot="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thickBot="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thickBot="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thickBot="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thickBot="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thickBot="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thickBot="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thickBot="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thickBot="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thickBot="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thickBot="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thickBot="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thickBot="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thickBot="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thickBot="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thickBot="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thickBot="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thickBot="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thickBot="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thickBot="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thickBot="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thickBot="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thickBot="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thickBot="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thickBot="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thickBot="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thickBot="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thickBot="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thickBot="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thickBot="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thickBot="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thickBot="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thickBot="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thickBot="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thickBot="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thickBot="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thickBot="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thickBot="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thickBot="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thickBot="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thickBot="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thickBot="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thickBot="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thickBot="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thickBot="1" x14ac:dyDescent="0.3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thickBot="1" x14ac:dyDescent="0.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thickBot="1" x14ac:dyDescent="0.3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thickBot="1" x14ac:dyDescent="0.3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thickBot="1" x14ac:dyDescent="0.3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thickBot="1" x14ac:dyDescent="0.3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thickBot="1" x14ac:dyDescent="0.3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thickBot="1" x14ac:dyDescent="0.3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thickBot="1" x14ac:dyDescent="0.3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thickBot="1" x14ac:dyDescent="0.3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thickBot="1" x14ac:dyDescent="0.3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thickBot="1" x14ac:dyDescent="0.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thickBot="1" x14ac:dyDescent="0.3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thickBot="1" x14ac:dyDescent="0.3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thickBot="1" x14ac:dyDescent="0.3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thickBot="1" x14ac:dyDescent="0.3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thickBot="1" x14ac:dyDescent="0.3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thickBot="1" x14ac:dyDescent="0.3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thickBot="1" x14ac:dyDescent="0.3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thickBot="1" x14ac:dyDescent="0.3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thickBot="1" x14ac:dyDescent="0.3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thickBot="1" x14ac:dyDescent="0.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thickBot="1" x14ac:dyDescent="0.3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thickBot="1" x14ac:dyDescent="0.3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thickBot="1" x14ac:dyDescent="0.3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thickBot="1" x14ac:dyDescent="0.3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thickBot="1" x14ac:dyDescent="0.3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thickBot="1" x14ac:dyDescent="0.3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thickBot="1" x14ac:dyDescent="0.3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thickBot="1" x14ac:dyDescent="0.3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thickBot="1" x14ac:dyDescent="0.3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thickBot="1" x14ac:dyDescent="0.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thickBot="1" x14ac:dyDescent="0.3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thickBot="1" x14ac:dyDescent="0.3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thickBot="1" x14ac:dyDescent="0.3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thickBot="1" x14ac:dyDescent="0.3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thickBot="1" x14ac:dyDescent="0.3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thickBot="1" x14ac:dyDescent="0.3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thickBot="1" x14ac:dyDescent="0.3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thickBot="1" x14ac:dyDescent="0.3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thickBot="1" x14ac:dyDescent="0.3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thickBot="1" x14ac:dyDescent="0.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thickBot="1" x14ac:dyDescent="0.3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thickBot="1" x14ac:dyDescent="0.3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thickBot="1" x14ac:dyDescent="0.3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thickBot="1" x14ac:dyDescent="0.3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thickBot="1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thickBot="1" x14ac:dyDescent="0.3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thickBot="1" x14ac:dyDescent="0.3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thickBot="1" x14ac:dyDescent="0.3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thickBot="1" x14ac:dyDescent="0.3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thickBot="1" x14ac:dyDescent="0.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thickBot="1" x14ac:dyDescent="0.3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thickBot="1" x14ac:dyDescent="0.3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thickBot="1" x14ac:dyDescent="0.3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thickBot="1" x14ac:dyDescent="0.3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thickBot="1" x14ac:dyDescent="0.3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thickBot="1" x14ac:dyDescent="0.3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thickBot="1" x14ac:dyDescent="0.3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thickBot="1" x14ac:dyDescent="0.3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thickBot="1" x14ac:dyDescent="0.3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thickBot="1" x14ac:dyDescent="0.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thickBot="1" x14ac:dyDescent="0.3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thickBot="1" x14ac:dyDescent="0.3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thickBot="1" x14ac:dyDescent="0.3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thickBot="1" x14ac:dyDescent="0.3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thickBot="1" x14ac:dyDescent="0.3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thickBot="1" x14ac:dyDescent="0.3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thickBot="1" x14ac:dyDescent="0.3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thickBot="1" x14ac:dyDescent="0.3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thickBot="1" x14ac:dyDescent="0.3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thickBot="1" x14ac:dyDescent="0.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thickBot="1" x14ac:dyDescent="0.3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thickBot="1" x14ac:dyDescent="0.3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thickBot="1" x14ac:dyDescent="0.3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thickBot="1" x14ac:dyDescent="0.3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thickBot="1" x14ac:dyDescent="0.3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thickBot="1" x14ac:dyDescent="0.3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thickBot="1" x14ac:dyDescent="0.3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thickBot="1" x14ac:dyDescent="0.3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thickBot="1" x14ac:dyDescent="0.3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thickBot="1" x14ac:dyDescent="0.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thickBot="1" x14ac:dyDescent="0.3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thickBot="1" x14ac:dyDescent="0.3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thickBot="1" x14ac:dyDescent="0.3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thickBot="1" x14ac:dyDescent="0.3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thickBot="1" x14ac:dyDescent="0.3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thickBot="1" x14ac:dyDescent="0.3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thickBot="1" x14ac:dyDescent="0.3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thickBot="1" x14ac:dyDescent="0.3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thickBot="1" x14ac:dyDescent="0.3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thickBot="1" x14ac:dyDescent="0.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thickBot="1" x14ac:dyDescent="0.3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thickBot="1" x14ac:dyDescent="0.3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thickBot="1" x14ac:dyDescent="0.3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thickBot="1" x14ac:dyDescent="0.3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thickBot="1" x14ac:dyDescent="0.3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thickBot="1" x14ac:dyDescent="0.3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thickBot="1" x14ac:dyDescent="0.3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thickBot="1" x14ac:dyDescent="0.3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thickBot="1" x14ac:dyDescent="0.3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thickBot="1" x14ac:dyDescent="0.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thickBot="1" x14ac:dyDescent="0.3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thickBot="1" x14ac:dyDescent="0.3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thickBot="1" x14ac:dyDescent="0.3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thickBot="1" x14ac:dyDescent="0.3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thickBot="1" x14ac:dyDescent="0.3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thickBot="1" x14ac:dyDescent="0.3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thickBot="1" x14ac:dyDescent="0.3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thickBot="1" x14ac:dyDescent="0.3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thickBot="1" x14ac:dyDescent="0.3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thickBot="1" x14ac:dyDescent="0.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thickBot="1" x14ac:dyDescent="0.3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thickBot="1" x14ac:dyDescent="0.3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thickBot="1" x14ac:dyDescent="0.3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thickBot="1" x14ac:dyDescent="0.3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thickBot="1" x14ac:dyDescent="0.3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thickBot="1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thickBot="1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thickBot="1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thickBot="1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thickBot="1" x14ac:dyDescent="0.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thickBot="1" x14ac:dyDescent="0.3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thickBot="1" x14ac:dyDescent="0.3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thickBot="1" x14ac:dyDescent="0.3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thickBot="1" x14ac:dyDescent="0.3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thickBot="1" x14ac:dyDescent="0.3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thickBot="1" x14ac:dyDescent="0.3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thickBot="1" x14ac:dyDescent="0.3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thickBot="1" x14ac:dyDescent="0.3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thickBot="1" x14ac:dyDescent="0.3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thickBot="1" x14ac:dyDescent="0.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thickBot="1" x14ac:dyDescent="0.3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thickBot="1" x14ac:dyDescent="0.3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thickBot="1" x14ac:dyDescent="0.3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thickBot="1" x14ac:dyDescent="0.3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thickBot="1" x14ac:dyDescent="0.3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thickBot="1" x14ac:dyDescent="0.3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thickBot="1" x14ac:dyDescent="0.3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thickBot="1" x14ac:dyDescent="0.3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thickBot="1" x14ac:dyDescent="0.3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thickBot="1" x14ac:dyDescent="0.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thickBot="1" x14ac:dyDescent="0.3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thickBot="1" x14ac:dyDescent="0.3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thickBot="1" x14ac:dyDescent="0.3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thickBot="1" x14ac:dyDescent="0.3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thickBot="1" x14ac:dyDescent="0.3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thickBot="1" x14ac:dyDescent="0.3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thickBot="1" x14ac:dyDescent="0.3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thickBot="1" x14ac:dyDescent="0.3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thickBot="1" x14ac:dyDescent="0.3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thickBot="1" x14ac:dyDescent="0.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thickBot="1" x14ac:dyDescent="0.3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thickBot="1" x14ac:dyDescent="0.3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thickBot="1" x14ac:dyDescent="0.3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thickBot="1" x14ac:dyDescent="0.3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thickBot="1" x14ac:dyDescent="0.3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thickBot="1" x14ac:dyDescent="0.3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thickBot="1" x14ac:dyDescent="0.3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thickBot="1" x14ac:dyDescent="0.3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thickBot="1" x14ac:dyDescent="0.3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thickBot="1" x14ac:dyDescent="0.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thickBot="1" x14ac:dyDescent="0.3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thickBot="1" x14ac:dyDescent="0.3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thickBot="1" x14ac:dyDescent="0.3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thickBot="1" x14ac:dyDescent="0.3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thickBot="1" x14ac:dyDescent="0.3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thickBot="1" x14ac:dyDescent="0.3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thickBot="1" x14ac:dyDescent="0.3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thickBot="1" x14ac:dyDescent="0.3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thickBot="1" x14ac:dyDescent="0.3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thickBot="1" x14ac:dyDescent="0.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thickBot="1" x14ac:dyDescent="0.3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thickBot="1" x14ac:dyDescent="0.3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thickBot="1" x14ac:dyDescent="0.3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thickBot="1" x14ac:dyDescent="0.3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thickBot="1" x14ac:dyDescent="0.3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thickBot="1" x14ac:dyDescent="0.3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thickBot="1" x14ac:dyDescent="0.3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thickBot="1" x14ac:dyDescent="0.3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thickBot="1" x14ac:dyDescent="0.3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thickBot="1" x14ac:dyDescent="0.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thickBot="1" x14ac:dyDescent="0.3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thickBot="1" x14ac:dyDescent="0.3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thickBot="1" x14ac:dyDescent="0.3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thickBot="1" x14ac:dyDescent="0.3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thickBot="1" x14ac:dyDescent="0.3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thickBot="1" x14ac:dyDescent="0.3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thickBot="1" x14ac:dyDescent="0.3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thickBot="1" x14ac:dyDescent="0.3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thickBot="1" x14ac:dyDescent="0.3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thickBot="1" x14ac:dyDescent="0.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thickBot="1" x14ac:dyDescent="0.3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thickBot="1" x14ac:dyDescent="0.3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thickBot="1" x14ac:dyDescent="0.3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thickBot="1" x14ac:dyDescent="0.3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thickBot="1" x14ac:dyDescent="0.3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thickBot="1" x14ac:dyDescent="0.3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thickBot="1" x14ac:dyDescent="0.3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thickBot="1" x14ac:dyDescent="0.3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thickBot="1" x14ac:dyDescent="0.3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thickBot="1" x14ac:dyDescent="0.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thickBot="1" x14ac:dyDescent="0.3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thickBot="1" x14ac:dyDescent="0.3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thickBot="1" x14ac:dyDescent="0.3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thickBot="1" x14ac:dyDescent="0.3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thickBot="1" x14ac:dyDescent="0.3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thickBot="1" x14ac:dyDescent="0.3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thickBot="1" x14ac:dyDescent="0.3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thickBot="1" x14ac:dyDescent="0.3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thickBot="1" x14ac:dyDescent="0.3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thickBot="1" x14ac:dyDescent="0.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thickBot="1" x14ac:dyDescent="0.3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thickBot="1" x14ac:dyDescent="0.3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thickBot="1" x14ac:dyDescent="0.3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thickBot="1" x14ac:dyDescent="0.3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thickBot="1" x14ac:dyDescent="0.3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thickBot="1" x14ac:dyDescent="0.3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thickBot="1" x14ac:dyDescent="0.3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thickBot="1" x14ac:dyDescent="0.3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thickBot="1" x14ac:dyDescent="0.3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thickBot="1" x14ac:dyDescent="0.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thickBot="1" x14ac:dyDescent="0.3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thickBot="1" x14ac:dyDescent="0.3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thickBot="1" x14ac:dyDescent="0.3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thickBot="1" x14ac:dyDescent="0.3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thickBot="1" x14ac:dyDescent="0.3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thickBot="1" x14ac:dyDescent="0.3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thickBot="1" x14ac:dyDescent="0.3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thickBot="1" x14ac:dyDescent="0.3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thickBot="1" x14ac:dyDescent="0.3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thickBot="1" x14ac:dyDescent="0.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thickBot="1" x14ac:dyDescent="0.3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thickBot="1" x14ac:dyDescent="0.3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thickBot="1" x14ac:dyDescent="0.3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thickBot="1" x14ac:dyDescent="0.3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thickBot="1" x14ac:dyDescent="0.3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thickBot="1" x14ac:dyDescent="0.3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thickBot="1" x14ac:dyDescent="0.3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thickBot="1" x14ac:dyDescent="0.3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thickBot="1" x14ac:dyDescent="0.3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thickBot="1" x14ac:dyDescent="0.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thickBot="1" x14ac:dyDescent="0.3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thickBot="1" x14ac:dyDescent="0.3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thickBot="1" x14ac:dyDescent="0.3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thickBot="1" x14ac:dyDescent="0.3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thickBot="1" x14ac:dyDescent="0.3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thickBot="1" x14ac:dyDescent="0.3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thickBot="1" x14ac:dyDescent="0.3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thickBot="1" x14ac:dyDescent="0.3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thickBot="1" x14ac:dyDescent="0.3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thickBot="1" x14ac:dyDescent="0.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thickBot="1" x14ac:dyDescent="0.3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thickBot="1" x14ac:dyDescent="0.3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thickBot="1" x14ac:dyDescent="0.3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thickBot="1" x14ac:dyDescent="0.3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thickBot="1" x14ac:dyDescent="0.3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thickBot="1" x14ac:dyDescent="0.3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thickBot="1" x14ac:dyDescent="0.3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thickBot="1" x14ac:dyDescent="0.3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thickBot="1" x14ac:dyDescent="0.3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thickBot="1" x14ac:dyDescent="0.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thickBot="1" x14ac:dyDescent="0.3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thickBot="1" x14ac:dyDescent="0.3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thickBot="1" x14ac:dyDescent="0.3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thickBot="1" x14ac:dyDescent="0.3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thickBot="1" x14ac:dyDescent="0.3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thickBot="1" x14ac:dyDescent="0.3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thickBot="1" x14ac:dyDescent="0.3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thickBot="1" x14ac:dyDescent="0.3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thickBot="1" x14ac:dyDescent="0.3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thickBot="1" x14ac:dyDescent="0.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thickBot="1" x14ac:dyDescent="0.3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thickBot="1" x14ac:dyDescent="0.3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thickBot="1" x14ac:dyDescent="0.3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thickBot="1" x14ac:dyDescent="0.3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thickBot="1" x14ac:dyDescent="0.3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thickBot="1" x14ac:dyDescent="0.3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thickBot="1" x14ac:dyDescent="0.3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thickBot="1" x14ac:dyDescent="0.3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thickBot="1" x14ac:dyDescent="0.3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thickBot="1" x14ac:dyDescent="0.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thickBot="1" x14ac:dyDescent="0.3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thickBot="1" x14ac:dyDescent="0.3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thickBot="1" x14ac:dyDescent="0.3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thickBot="1" x14ac:dyDescent="0.3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thickBot="1" x14ac:dyDescent="0.3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thickBot="1" x14ac:dyDescent="0.3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thickBot="1" x14ac:dyDescent="0.3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thickBot="1" x14ac:dyDescent="0.3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thickBot="1" x14ac:dyDescent="0.3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thickBot="1" x14ac:dyDescent="0.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thickBot="1" x14ac:dyDescent="0.3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thickBot="1" x14ac:dyDescent="0.3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thickBot="1" x14ac:dyDescent="0.3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thickBot="1" x14ac:dyDescent="0.3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thickBot="1" x14ac:dyDescent="0.3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thickBot="1" x14ac:dyDescent="0.3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thickBot="1" x14ac:dyDescent="0.3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thickBot="1" x14ac:dyDescent="0.3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thickBot="1" x14ac:dyDescent="0.3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thickBot="1" x14ac:dyDescent="0.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thickBot="1" x14ac:dyDescent="0.3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thickBot="1" x14ac:dyDescent="0.3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thickBot="1" x14ac:dyDescent="0.3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thickBot="1" x14ac:dyDescent="0.3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thickBot="1" x14ac:dyDescent="0.3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thickBot="1" x14ac:dyDescent="0.3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thickBot="1" x14ac:dyDescent="0.3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thickBot="1" x14ac:dyDescent="0.3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thickBot="1" x14ac:dyDescent="0.3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thickBot="1" x14ac:dyDescent="0.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thickBot="1" x14ac:dyDescent="0.3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thickBot="1" x14ac:dyDescent="0.3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thickBot="1" x14ac:dyDescent="0.3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thickBot="1" x14ac:dyDescent="0.3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thickBot="1" x14ac:dyDescent="0.3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thickBot="1" x14ac:dyDescent="0.3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thickBot="1" x14ac:dyDescent="0.3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thickBot="1" x14ac:dyDescent="0.3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thickBot="1" x14ac:dyDescent="0.3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thickBot="1" x14ac:dyDescent="0.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thickBot="1" x14ac:dyDescent="0.3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thickBot="1" x14ac:dyDescent="0.3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thickBot="1" x14ac:dyDescent="0.3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thickBot="1" x14ac:dyDescent="0.3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thickBot="1" x14ac:dyDescent="0.3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thickBot="1" x14ac:dyDescent="0.3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thickBot="1" x14ac:dyDescent="0.3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thickBot="1" x14ac:dyDescent="0.3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thickBot="1" x14ac:dyDescent="0.3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thickBot="1" x14ac:dyDescent="0.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thickBot="1" x14ac:dyDescent="0.3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thickBot="1" x14ac:dyDescent="0.3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thickBot="1" x14ac:dyDescent="0.3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thickBot="1" x14ac:dyDescent="0.3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thickBot="1" x14ac:dyDescent="0.3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thickBot="1" x14ac:dyDescent="0.3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thickBot="1" x14ac:dyDescent="0.3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thickBot="1" x14ac:dyDescent="0.3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thickBot="1" x14ac:dyDescent="0.3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thickBot="1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thickBot="1" x14ac:dyDescent="0.3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thickBot="1" x14ac:dyDescent="0.3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thickBot="1" x14ac:dyDescent="0.3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thickBot="1" x14ac:dyDescent="0.3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thickBot="1" x14ac:dyDescent="0.3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thickBot="1" x14ac:dyDescent="0.3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thickBot="1" x14ac:dyDescent="0.3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thickBot="1" x14ac:dyDescent="0.3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thickBot="1" x14ac:dyDescent="0.3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thickBot="1" x14ac:dyDescent="0.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thickBot="1" x14ac:dyDescent="0.3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thickBot="1" x14ac:dyDescent="0.3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thickBot="1" x14ac:dyDescent="0.3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thickBot="1" x14ac:dyDescent="0.3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thickBot="1" x14ac:dyDescent="0.3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thickBot="1" x14ac:dyDescent="0.3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thickBot="1" x14ac:dyDescent="0.3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thickBot="1" x14ac:dyDescent="0.3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thickBot="1" x14ac:dyDescent="0.3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thickBot="1" x14ac:dyDescent="0.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thickBot="1" x14ac:dyDescent="0.3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thickBot="1" x14ac:dyDescent="0.3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thickBot="1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thickBot="1" x14ac:dyDescent="0.3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thickBot="1" x14ac:dyDescent="0.3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thickBot="1" x14ac:dyDescent="0.3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thickBot="1" x14ac:dyDescent="0.3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thickBot="1" x14ac:dyDescent="0.3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thickBot="1" x14ac:dyDescent="0.3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thickBot="1" x14ac:dyDescent="0.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thickBot="1" x14ac:dyDescent="0.3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thickBot="1" x14ac:dyDescent="0.3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thickBot="1" x14ac:dyDescent="0.3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thickBot="1" x14ac:dyDescent="0.3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thickBot="1" x14ac:dyDescent="0.3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thickBot="1" x14ac:dyDescent="0.3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thickBot="1" x14ac:dyDescent="0.3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thickBot="1" x14ac:dyDescent="0.3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thickBot="1" x14ac:dyDescent="0.3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thickBot="1" x14ac:dyDescent="0.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thickBot="1" x14ac:dyDescent="0.3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thickBot="1" x14ac:dyDescent="0.3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thickBot="1" x14ac:dyDescent="0.3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thickBot="1" x14ac:dyDescent="0.3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thickBot="1" x14ac:dyDescent="0.3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thickBot="1" x14ac:dyDescent="0.3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thickBot="1" x14ac:dyDescent="0.3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thickBot="1" x14ac:dyDescent="0.3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thickBot="1" x14ac:dyDescent="0.3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thickBot="1" x14ac:dyDescent="0.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thickBot="1" x14ac:dyDescent="0.3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thickBot="1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thickBot="1" x14ac:dyDescent="0.3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thickBot="1" x14ac:dyDescent="0.3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thickBot="1" x14ac:dyDescent="0.3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thickBot="1" x14ac:dyDescent="0.3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thickBot="1" x14ac:dyDescent="0.3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thickBot="1" x14ac:dyDescent="0.3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thickBot="1" x14ac:dyDescent="0.3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thickBot="1" x14ac:dyDescent="0.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thickBot="1" x14ac:dyDescent="0.3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thickBot="1" x14ac:dyDescent="0.3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thickBot="1" x14ac:dyDescent="0.3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thickBot="1" x14ac:dyDescent="0.3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thickBot="1" x14ac:dyDescent="0.3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thickBot="1" x14ac:dyDescent="0.3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thickBot="1" x14ac:dyDescent="0.3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thickBot="1" x14ac:dyDescent="0.3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thickBot="1" x14ac:dyDescent="0.3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thickBot="1" x14ac:dyDescent="0.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thickBot="1" x14ac:dyDescent="0.3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thickBot="1" x14ac:dyDescent="0.3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thickBot="1" x14ac:dyDescent="0.3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thickBot="1" x14ac:dyDescent="0.3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thickBot="1" x14ac:dyDescent="0.3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thickBot="1" x14ac:dyDescent="0.3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thickBot="1" x14ac:dyDescent="0.3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thickBot="1" x14ac:dyDescent="0.3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thickBot="1" x14ac:dyDescent="0.3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thickBot="1" x14ac:dyDescent="0.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thickBot="1" x14ac:dyDescent="0.3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thickBot="1" x14ac:dyDescent="0.3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thickBot="1" x14ac:dyDescent="0.3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thickBot="1" x14ac:dyDescent="0.3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thickBot="1" x14ac:dyDescent="0.3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thickBot="1" x14ac:dyDescent="0.3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thickBot="1" x14ac:dyDescent="0.3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thickBot="1" x14ac:dyDescent="0.3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thickBot="1" x14ac:dyDescent="0.3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thickBot="1" x14ac:dyDescent="0.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thickBot="1" x14ac:dyDescent="0.3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thickBot="1" x14ac:dyDescent="0.3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thickBot="1" x14ac:dyDescent="0.3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thickBot="1" x14ac:dyDescent="0.3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thickBot="1" x14ac:dyDescent="0.3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thickBot="1" x14ac:dyDescent="0.3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thickBot="1" x14ac:dyDescent="0.3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thickBot="1" x14ac:dyDescent="0.3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thickBot="1" x14ac:dyDescent="0.3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thickBot="1" x14ac:dyDescent="0.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thickBot="1" x14ac:dyDescent="0.3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thickBot="1" x14ac:dyDescent="0.3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thickBot="1" x14ac:dyDescent="0.3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thickBot="1" x14ac:dyDescent="0.3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thickBot="1" x14ac:dyDescent="0.3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thickBo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thickBot="1" x14ac:dyDescent="0.3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thickBot="1" x14ac:dyDescent="0.3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thickBot="1" x14ac:dyDescent="0.3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thickBot="1" x14ac:dyDescent="0.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thickBot="1" x14ac:dyDescent="0.3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thickBot="1" x14ac:dyDescent="0.3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thickBot="1" x14ac:dyDescent="0.3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thickBot="1" x14ac:dyDescent="0.3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thickBot="1" x14ac:dyDescent="0.3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thickBot="1" x14ac:dyDescent="0.3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thickBot="1" x14ac:dyDescent="0.3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thickBot="1" x14ac:dyDescent="0.3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thickBot="1" x14ac:dyDescent="0.3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thickBot="1" x14ac:dyDescent="0.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thickBot="1" x14ac:dyDescent="0.3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thickBot="1" x14ac:dyDescent="0.3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thickBot="1" x14ac:dyDescent="0.3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thickBot="1" x14ac:dyDescent="0.3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thickBot="1" x14ac:dyDescent="0.3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thickBot="1" x14ac:dyDescent="0.3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thickBot="1" x14ac:dyDescent="0.3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thickBot="1" x14ac:dyDescent="0.3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thickBot="1" x14ac:dyDescent="0.3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thickBot="1" x14ac:dyDescent="0.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thickBot="1" x14ac:dyDescent="0.3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thickBot="1" x14ac:dyDescent="0.3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thickBot="1" x14ac:dyDescent="0.3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thickBot="1" x14ac:dyDescent="0.3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thickBot="1" x14ac:dyDescent="0.3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thickBot="1" x14ac:dyDescent="0.3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thickBot="1" x14ac:dyDescent="0.3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thickBot="1" x14ac:dyDescent="0.3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thickBot="1" x14ac:dyDescent="0.3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thickBot="1" x14ac:dyDescent="0.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thickBot="1" x14ac:dyDescent="0.3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thickBot="1" x14ac:dyDescent="0.3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thickBot="1" x14ac:dyDescent="0.3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thickBot="1" x14ac:dyDescent="0.3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thickBot="1" x14ac:dyDescent="0.3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thickBot="1" x14ac:dyDescent="0.3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thickBot="1" x14ac:dyDescent="0.3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thickBot="1" x14ac:dyDescent="0.3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thickBot="1" x14ac:dyDescent="0.3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thickBot="1" x14ac:dyDescent="0.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thickBot="1" x14ac:dyDescent="0.3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thickBot="1" x14ac:dyDescent="0.3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thickBot="1" x14ac:dyDescent="0.3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thickBot="1" x14ac:dyDescent="0.3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thickBot="1" x14ac:dyDescent="0.3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thickBot="1" x14ac:dyDescent="0.3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thickBo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thickBot="1" x14ac:dyDescent="0.3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thickBot="1" x14ac:dyDescent="0.3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thickBot="1" x14ac:dyDescent="0.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thickBot="1" x14ac:dyDescent="0.3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thickBot="1" x14ac:dyDescent="0.3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thickBot="1" x14ac:dyDescent="0.3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thickBot="1" x14ac:dyDescent="0.3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thickBot="1" x14ac:dyDescent="0.3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thickBot="1" x14ac:dyDescent="0.3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thickBot="1" x14ac:dyDescent="0.3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thickBot="1" x14ac:dyDescent="0.3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thickBot="1" x14ac:dyDescent="0.3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thickBot="1" x14ac:dyDescent="0.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thickBot="1" x14ac:dyDescent="0.3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thickBot="1" x14ac:dyDescent="0.3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thickBot="1" x14ac:dyDescent="0.3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thickBot="1" x14ac:dyDescent="0.3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thickBot="1" x14ac:dyDescent="0.3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thickBot="1" x14ac:dyDescent="0.3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thickBot="1" x14ac:dyDescent="0.3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thickBot="1" x14ac:dyDescent="0.3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thickBot="1" x14ac:dyDescent="0.3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thickBot="1" x14ac:dyDescent="0.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thickBot="1" x14ac:dyDescent="0.3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thickBot="1" x14ac:dyDescent="0.3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thickBot="1" x14ac:dyDescent="0.3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thickBot="1" x14ac:dyDescent="0.3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thickBot="1" x14ac:dyDescent="0.3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thickBot="1" x14ac:dyDescent="0.3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thickBot="1" x14ac:dyDescent="0.3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thickBot="1" x14ac:dyDescent="0.3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thickBot="1" x14ac:dyDescent="0.3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thickBot="1" x14ac:dyDescent="0.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thickBot="1" x14ac:dyDescent="0.3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thickBot="1" x14ac:dyDescent="0.3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thickBot="1" x14ac:dyDescent="0.3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thickBot="1" x14ac:dyDescent="0.3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thickBot="1" x14ac:dyDescent="0.3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thickBot="1" x14ac:dyDescent="0.3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thickBot="1" x14ac:dyDescent="0.3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thickBot="1" x14ac:dyDescent="0.3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thickBot="1" x14ac:dyDescent="0.3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thickBot="1" x14ac:dyDescent="0.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thickBot="1" x14ac:dyDescent="0.3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thickBot="1" x14ac:dyDescent="0.3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thickBot="1" x14ac:dyDescent="0.3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thickBot="1" x14ac:dyDescent="0.3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thickBot="1" x14ac:dyDescent="0.3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thickBot="1" x14ac:dyDescent="0.3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thickBot="1" x14ac:dyDescent="0.3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thickBot="1" x14ac:dyDescent="0.3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thickBot="1" x14ac:dyDescent="0.3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thickBot="1" x14ac:dyDescent="0.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thickBot="1" x14ac:dyDescent="0.3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thickBot="1" x14ac:dyDescent="0.3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thickBot="1" x14ac:dyDescent="0.3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thickBot="1" x14ac:dyDescent="0.3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thickBot="1" x14ac:dyDescent="0.3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thickBot="1" x14ac:dyDescent="0.3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thickBot="1" x14ac:dyDescent="0.3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thickBot="1" x14ac:dyDescent="0.3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thickBot="1" x14ac:dyDescent="0.3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thickBot="1" x14ac:dyDescent="0.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thickBot="1" x14ac:dyDescent="0.3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thickBo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thickBot="1" x14ac:dyDescent="0.3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thickBot="1" x14ac:dyDescent="0.3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thickBot="1" x14ac:dyDescent="0.3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thickBot="1" x14ac:dyDescent="0.3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thickBot="1" x14ac:dyDescent="0.3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thickBot="1" x14ac:dyDescent="0.3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thickBot="1" x14ac:dyDescent="0.3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thickBot="1" x14ac:dyDescent="0.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thickBot="1" x14ac:dyDescent="0.3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thickBot="1" x14ac:dyDescent="0.3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thickBot="1" x14ac:dyDescent="0.3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thickBot="1" x14ac:dyDescent="0.3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thickBot="1" x14ac:dyDescent="0.3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thickBot="1" x14ac:dyDescent="0.3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thickBot="1" x14ac:dyDescent="0.3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thickBot="1" x14ac:dyDescent="0.3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thickBot="1" x14ac:dyDescent="0.3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" customHeight="1" thickBot="1" x14ac:dyDescent="0.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" customHeight="1" thickBot="1" x14ac:dyDescent="0.3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" customHeight="1" thickBot="1" x14ac:dyDescent="0.3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" customHeight="1" thickBot="1" x14ac:dyDescent="0.3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" customHeight="1" thickBot="1" x14ac:dyDescent="0.3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" customHeight="1" thickBot="1" x14ac:dyDescent="0.3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" customHeight="1" thickBot="1" x14ac:dyDescent="0.3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" customHeight="1" thickBo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" customHeight="1" thickBot="1" x14ac:dyDescent="0.3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" customHeight="1" thickBot="1" x14ac:dyDescent="0.3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" customHeight="1" thickBot="1" x14ac:dyDescent="0.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" customHeight="1" thickBot="1" x14ac:dyDescent="0.3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" customHeight="1" thickBot="1" x14ac:dyDescent="0.3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" customHeight="1" thickBot="1" x14ac:dyDescent="0.3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" customHeight="1" thickBot="1" x14ac:dyDescent="0.3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" customHeight="1" thickBot="1" x14ac:dyDescent="0.3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" customHeight="1" thickBot="1" x14ac:dyDescent="0.3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" customHeight="1" thickBot="1" x14ac:dyDescent="0.3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" customHeight="1" thickBot="1" x14ac:dyDescent="0.3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" customHeight="1" thickBot="1" x14ac:dyDescent="0.3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" customHeight="1" thickBot="1" x14ac:dyDescent="0.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" customHeight="1" thickBot="1" x14ac:dyDescent="0.3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" customHeight="1" thickBot="1" x14ac:dyDescent="0.3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" customHeight="1" thickBot="1" x14ac:dyDescent="0.3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" customHeight="1" thickBot="1" x14ac:dyDescent="0.3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" customHeight="1" thickBot="1" x14ac:dyDescent="0.3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" customHeight="1" thickBot="1" x14ac:dyDescent="0.3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" customHeight="1" thickBot="1" x14ac:dyDescent="0.3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" customHeight="1" thickBot="1" x14ac:dyDescent="0.3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" customHeight="1" thickBot="1" x14ac:dyDescent="0.3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" customHeight="1" thickBot="1" x14ac:dyDescent="0.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" customHeight="1" thickBot="1" x14ac:dyDescent="0.3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" customHeight="1" thickBot="1" x14ac:dyDescent="0.3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" customHeight="1" thickBot="1" x14ac:dyDescent="0.3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" customHeight="1" thickBot="1" x14ac:dyDescent="0.3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" customHeight="1" thickBot="1" x14ac:dyDescent="0.3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" customHeight="1" thickBot="1" x14ac:dyDescent="0.3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" customHeight="1" thickBot="1" x14ac:dyDescent="0.3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" customHeight="1" thickBot="1" x14ac:dyDescent="0.3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" customHeight="1" thickBot="1" x14ac:dyDescent="0.3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" customHeight="1" thickBot="1" x14ac:dyDescent="0.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5" customHeight="1" thickBot="1" x14ac:dyDescent="0.3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5" customHeight="1" thickBot="1" x14ac:dyDescent="0.3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5" customHeight="1" thickBot="1" x14ac:dyDescent="0.3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</sheetData>
  <mergeCells count="11">
    <mergeCell ref="C21:F21"/>
    <mergeCell ref="C22:F22"/>
    <mergeCell ref="C6:F6"/>
    <mergeCell ref="C7:F7"/>
    <mergeCell ref="C8:F8"/>
    <mergeCell ref="C9:F9"/>
    <mergeCell ref="L6:O6"/>
    <mergeCell ref="L7:O7"/>
    <mergeCell ref="L8:O8"/>
    <mergeCell ref="L9:O9"/>
    <mergeCell ref="C20:F20"/>
  </mergeCells>
  <phoneticPr fontId="10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B85A-B11A-4D97-AE2D-200A2A121A7F}">
  <dimension ref="B4:I24"/>
  <sheetViews>
    <sheetView topLeftCell="A4" zoomScale="90" zoomScaleNormal="90" workbookViewId="0">
      <selection activeCell="J24" sqref="J24"/>
    </sheetView>
  </sheetViews>
  <sheetFormatPr baseColWidth="10" defaultRowHeight="13.2" x14ac:dyDescent="0.25"/>
  <cols>
    <col min="1" max="1" width="11.5546875" customWidth="1"/>
    <col min="2" max="2" width="12.6640625" customWidth="1"/>
    <col min="3" max="3" width="65.6640625" customWidth="1"/>
    <col min="4" max="4" width="18.77734375" customWidth="1"/>
    <col min="5" max="5" width="68.5546875" customWidth="1"/>
    <col min="6" max="6" width="90.44140625" customWidth="1"/>
    <col min="7" max="7" width="27.6640625" customWidth="1"/>
    <col min="8" max="8" width="18" customWidth="1"/>
    <col min="9" max="9" width="14.5546875" customWidth="1"/>
  </cols>
  <sheetData>
    <row r="4" spans="2:9" x14ac:dyDescent="0.25">
      <c r="B4" s="35" t="s">
        <v>10</v>
      </c>
      <c r="C4" s="35" t="s">
        <v>0</v>
      </c>
      <c r="D4" s="35" t="s">
        <v>1</v>
      </c>
      <c r="E4" s="35" t="s">
        <v>11</v>
      </c>
      <c r="F4" s="35" t="s">
        <v>12</v>
      </c>
      <c r="G4" s="35" t="s">
        <v>4</v>
      </c>
      <c r="H4" s="35" t="s">
        <v>13</v>
      </c>
      <c r="I4" s="35" t="s">
        <v>14</v>
      </c>
    </row>
    <row r="5" spans="2:9" ht="15.6" customHeight="1" x14ac:dyDescent="0.25">
      <c r="B5" s="36" t="s">
        <v>84</v>
      </c>
      <c r="C5" s="36" t="s">
        <v>88</v>
      </c>
      <c r="D5" s="36" t="s">
        <v>9</v>
      </c>
      <c r="E5" s="36" t="s">
        <v>89</v>
      </c>
      <c r="F5" s="36" t="s">
        <v>108</v>
      </c>
      <c r="G5" s="36"/>
      <c r="H5" s="36" t="s">
        <v>8</v>
      </c>
      <c r="I5" s="36" t="s">
        <v>32</v>
      </c>
    </row>
    <row r="6" spans="2:9" x14ac:dyDescent="0.25">
      <c r="B6" s="37"/>
      <c r="C6" s="38" t="s">
        <v>15</v>
      </c>
      <c r="D6" s="38"/>
      <c r="E6" s="38"/>
      <c r="F6" s="38"/>
      <c r="G6" s="38" t="s">
        <v>16</v>
      </c>
      <c r="H6" s="38"/>
      <c r="I6" s="38" t="s">
        <v>17</v>
      </c>
    </row>
    <row r="7" spans="2:9" ht="13.2" customHeight="1" x14ac:dyDescent="0.25">
      <c r="B7" s="39" t="s">
        <v>99</v>
      </c>
      <c r="C7" s="43" t="s">
        <v>111</v>
      </c>
      <c r="D7" s="43"/>
      <c r="E7" s="43"/>
      <c r="F7" s="43"/>
      <c r="G7" s="37" t="s">
        <v>47</v>
      </c>
      <c r="H7" s="37"/>
      <c r="I7" s="40">
        <v>2</v>
      </c>
    </row>
    <row r="8" spans="2:9" ht="16.2" customHeight="1" x14ac:dyDescent="0.25">
      <c r="B8" s="39" t="s">
        <v>100</v>
      </c>
      <c r="C8" s="42" t="s">
        <v>101</v>
      </c>
      <c r="D8" s="42"/>
      <c r="E8" s="42"/>
      <c r="F8" s="42"/>
      <c r="G8" s="37" t="s">
        <v>47</v>
      </c>
      <c r="H8" s="37"/>
      <c r="I8" s="40">
        <v>2</v>
      </c>
    </row>
    <row r="9" spans="2:9" ht="15" customHeight="1" x14ac:dyDescent="0.25">
      <c r="B9" s="39" t="s">
        <v>102</v>
      </c>
      <c r="C9" s="41" t="s">
        <v>109</v>
      </c>
      <c r="D9" s="41"/>
      <c r="E9" s="41"/>
      <c r="F9" s="41"/>
      <c r="G9" s="37" t="s">
        <v>47</v>
      </c>
      <c r="H9" s="37"/>
      <c r="I9" s="40">
        <v>1</v>
      </c>
    </row>
    <row r="10" spans="2:9" ht="14.4" customHeight="1" x14ac:dyDescent="0.25">
      <c r="B10" s="39" t="s">
        <v>104</v>
      </c>
      <c r="C10" s="43" t="s">
        <v>103</v>
      </c>
      <c r="D10" s="43"/>
      <c r="E10" s="43"/>
      <c r="F10" s="43"/>
      <c r="G10" s="37" t="s">
        <v>47</v>
      </c>
      <c r="H10" s="37"/>
      <c r="I10" s="40">
        <v>1</v>
      </c>
    </row>
    <row r="11" spans="2:9" ht="13.8" customHeight="1" x14ac:dyDescent="0.25">
      <c r="B11" s="39"/>
      <c r="C11" s="43"/>
      <c r="D11" s="43"/>
      <c r="E11" s="43"/>
      <c r="F11" s="43"/>
      <c r="G11" s="37"/>
      <c r="H11" s="37"/>
      <c r="I11" s="37"/>
    </row>
    <row r="12" spans="2:9" ht="15.6" customHeight="1" x14ac:dyDescent="0.25">
      <c r="B12" s="36" t="s">
        <v>85</v>
      </c>
      <c r="C12" s="36" t="s">
        <v>92</v>
      </c>
      <c r="D12" s="36" t="s">
        <v>9</v>
      </c>
      <c r="E12" s="36" t="s">
        <v>93</v>
      </c>
      <c r="F12" s="36" t="s">
        <v>110</v>
      </c>
      <c r="G12" s="36" t="s">
        <v>117</v>
      </c>
      <c r="H12" s="36" t="s">
        <v>8</v>
      </c>
      <c r="I12" s="36" t="s">
        <v>32</v>
      </c>
    </row>
    <row r="13" spans="2:9" ht="15" customHeight="1" x14ac:dyDescent="0.25">
      <c r="B13" s="37"/>
      <c r="C13" s="38" t="s">
        <v>15</v>
      </c>
      <c r="D13" s="38"/>
      <c r="E13" s="38"/>
      <c r="F13" s="38"/>
      <c r="G13" s="38" t="s">
        <v>16</v>
      </c>
      <c r="H13" s="38"/>
      <c r="I13" s="38" t="s">
        <v>17</v>
      </c>
    </row>
    <row r="14" spans="2:9" ht="13.8" customHeight="1" x14ac:dyDescent="0.25">
      <c r="B14" s="39" t="s">
        <v>105</v>
      </c>
      <c r="C14" s="43" t="s">
        <v>112</v>
      </c>
      <c r="D14" s="43"/>
      <c r="E14" s="43"/>
      <c r="F14" s="43"/>
      <c r="G14" s="37" t="s">
        <v>51</v>
      </c>
      <c r="H14" s="37"/>
      <c r="I14" s="40">
        <v>2</v>
      </c>
    </row>
    <row r="15" spans="2:9" ht="14.4" customHeight="1" x14ac:dyDescent="0.25">
      <c r="B15" s="39" t="s">
        <v>106</v>
      </c>
      <c r="C15" s="42" t="s">
        <v>114</v>
      </c>
      <c r="D15" s="42"/>
      <c r="E15" s="42"/>
      <c r="F15" s="42"/>
      <c r="G15" s="37" t="s">
        <v>51</v>
      </c>
      <c r="H15" s="37"/>
      <c r="I15" s="40">
        <v>2</v>
      </c>
    </row>
    <row r="16" spans="2:9" ht="13.2" customHeight="1" x14ac:dyDescent="0.25">
      <c r="B16" s="39" t="s">
        <v>107</v>
      </c>
      <c r="C16" s="43" t="s">
        <v>115</v>
      </c>
      <c r="D16" s="43"/>
      <c r="E16" s="43"/>
      <c r="F16" s="43"/>
      <c r="G16" s="37" t="s">
        <v>51</v>
      </c>
      <c r="H16" s="37"/>
      <c r="I16" s="40">
        <v>1</v>
      </c>
    </row>
    <row r="17" spans="2:9" x14ac:dyDescent="0.25">
      <c r="B17" s="39" t="s">
        <v>113</v>
      </c>
      <c r="C17" t="s">
        <v>116</v>
      </c>
      <c r="G17" s="37" t="s">
        <v>51</v>
      </c>
      <c r="I17" s="40">
        <v>1</v>
      </c>
    </row>
    <row r="19" spans="2:9" x14ac:dyDescent="0.25">
      <c r="B19" s="36" t="s">
        <v>85</v>
      </c>
      <c r="C19" s="36" t="s">
        <v>92</v>
      </c>
      <c r="D19" s="36" t="s">
        <v>9</v>
      </c>
      <c r="E19" s="36" t="s">
        <v>93</v>
      </c>
      <c r="F19" s="36" t="s">
        <v>110</v>
      </c>
      <c r="G19" s="36" t="s">
        <v>117</v>
      </c>
      <c r="H19" s="36" t="s">
        <v>8</v>
      </c>
      <c r="I19" s="36" t="s">
        <v>32</v>
      </c>
    </row>
    <row r="20" spans="2:9" x14ac:dyDescent="0.25">
      <c r="B20" s="37"/>
      <c r="C20" s="38" t="s">
        <v>15</v>
      </c>
      <c r="D20" s="38"/>
      <c r="E20" s="38"/>
      <c r="F20" s="38"/>
      <c r="G20" s="38" t="s">
        <v>16</v>
      </c>
      <c r="H20" s="38"/>
      <c r="I20" s="38" t="s">
        <v>17</v>
      </c>
    </row>
    <row r="21" spans="2:9" x14ac:dyDescent="0.25">
      <c r="B21" s="39" t="s">
        <v>105</v>
      </c>
      <c r="C21" s="43" t="s">
        <v>118</v>
      </c>
      <c r="D21" s="43"/>
      <c r="E21" s="43"/>
      <c r="F21" s="43"/>
      <c r="G21" s="37" t="s">
        <v>73</v>
      </c>
      <c r="H21" s="37"/>
      <c r="I21" s="40">
        <v>1</v>
      </c>
    </row>
    <row r="22" spans="2:9" x14ac:dyDescent="0.25">
      <c r="B22" s="39" t="s">
        <v>106</v>
      </c>
      <c r="C22" s="42" t="s">
        <v>119</v>
      </c>
      <c r="D22" s="42"/>
      <c r="E22" s="42"/>
      <c r="F22" s="42"/>
      <c r="G22" s="37" t="s">
        <v>73</v>
      </c>
      <c r="H22" s="37"/>
      <c r="I22" s="40">
        <v>3</v>
      </c>
    </row>
    <row r="23" spans="2:9" x14ac:dyDescent="0.25">
      <c r="B23" s="39" t="s">
        <v>107</v>
      </c>
      <c r="C23" s="43" t="s">
        <v>120</v>
      </c>
      <c r="D23" s="43"/>
      <c r="E23" s="43"/>
      <c r="F23" s="43"/>
      <c r="G23" s="37" t="s">
        <v>73</v>
      </c>
      <c r="H23" s="37"/>
      <c r="I23" s="40">
        <v>1</v>
      </c>
    </row>
    <row r="24" spans="2:9" x14ac:dyDescent="0.25">
      <c r="B24" s="39" t="s">
        <v>113</v>
      </c>
      <c r="C24" s="53" t="s">
        <v>121</v>
      </c>
      <c r="G24" s="37" t="s">
        <v>73</v>
      </c>
      <c r="I24" s="40">
        <v>1</v>
      </c>
    </row>
  </sheetData>
  <mergeCells count="10">
    <mergeCell ref="C21:F21"/>
    <mergeCell ref="C22:F22"/>
    <mergeCell ref="C23:F23"/>
    <mergeCell ref="C15:F15"/>
    <mergeCell ref="C16:F16"/>
    <mergeCell ref="C7:F7"/>
    <mergeCell ref="C8:F8"/>
    <mergeCell ref="C10:F10"/>
    <mergeCell ref="C11:F11"/>
    <mergeCell ref="C14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Normal="100" workbookViewId="0">
      <selection activeCell="C11" sqref="C11"/>
    </sheetView>
  </sheetViews>
  <sheetFormatPr baseColWidth="10" defaultColWidth="12.5546875" defaultRowHeight="15" customHeight="1" x14ac:dyDescent="0.25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 x14ac:dyDescent="0.25"/>
    <row r="2" spans="1:11" ht="15.75" customHeight="1" x14ac:dyDescent="0.25"/>
    <row r="3" spans="1:11" ht="15.75" customHeight="1" x14ac:dyDescent="0.25">
      <c r="B3" s="1"/>
      <c r="C3" s="1" t="s">
        <v>17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 ht="15.75" customHeight="1" x14ac:dyDescent="0.25">
      <c r="B4" t="s">
        <v>18</v>
      </c>
      <c r="C4" s="6">
        <v>3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5">
        <v>4</v>
      </c>
    </row>
    <row r="5" spans="1:11" ht="15.75" customHeight="1" x14ac:dyDescent="0.25">
      <c r="B5" t="s">
        <v>19</v>
      </c>
      <c r="C5" s="6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5">
        <v>1</v>
      </c>
    </row>
    <row r="6" spans="1:11" ht="15.75" customHeight="1" x14ac:dyDescent="0.25">
      <c r="A6" s="1"/>
      <c r="B6" t="s">
        <v>20</v>
      </c>
      <c r="C6" s="6">
        <v>1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5">
        <v>2</v>
      </c>
    </row>
    <row r="7" spans="1:11" ht="15.75" customHeight="1" x14ac:dyDescent="0.25">
      <c r="A7" s="1"/>
      <c r="B7" t="s">
        <v>31</v>
      </c>
      <c r="C7" s="6">
        <v>2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5">
        <v>4</v>
      </c>
    </row>
    <row r="8" spans="1:11" ht="15.75" customHeight="1" x14ac:dyDescent="0.25"/>
    <row r="9" spans="1:11" ht="15.75" customHeight="1" x14ac:dyDescent="0.45">
      <c r="B9" s="2" t="s">
        <v>29</v>
      </c>
      <c r="C9" s="3">
        <f>SUM(C4:C7)</f>
        <v>8</v>
      </c>
      <c r="D9" s="3">
        <f t="shared" ref="D9:J9" si="0">C9-SUM(D4:D7)</f>
        <v>5</v>
      </c>
      <c r="E9" s="4">
        <f t="shared" si="0"/>
        <v>3</v>
      </c>
      <c r="F9" s="3">
        <f>E9-SUM(F4:F7)</f>
        <v>1</v>
      </c>
      <c r="G9" s="3">
        <f t="shared" si="0"/>
        <v>0</v>
      </c>
      <c r="H9" s="3">
        <f t="shared" si="0"/>
        <v>0</v>
      </c>
      <c r="I9" s="3">
        <f t="shared" si="0"/>
        <v>-2</v>
      </c>
      <c r="J9" s="3">
        <f t="shared" si="0"/>
        <v>-3</v>
      </c>
    </row>
    <row r="10" spans="1:11" ht="15.75" customHeight="1" x14ac:dyDescent="0.45">
      <c r="B10" s="2" t="s">
        <v>30</v>
      </c>
      <c r="C10" s="3">
        <f>SUM(C4:C7)</f>
        <v>8</v>
      </c>
      <c r="D10" s="3">
        <f>C10-(SUM(C4:C7)/7)</f>
        <v>6.8571428571428577</v>
      </c>
      <c r="E10" s="4">
        <f>D10-(SUM(C4:C7)/7)</f>
        <v>5.7142857142857153</v>
      </c>
      <c r="F10" s="3">
        <f>E10-(SUM(C4:C7)/7)</f>
        <v>4.571428571428573</v>
      </c>
      <c r="G10" s="3">
        <f>F10-(SUM(C4:C7)/7)</f>
        <v>3.4285714285714302</v>
      </c>
      <c r="H10" s="3">
        <f>G10-(SUM(C4:C7)/7)</f>
        <v>2.2857142857142874</v>
      </c>
      <c r="I10" s="3">
        <f>H10-(SUM(C4:C7)/7)</f>
        <v>1.1428571428571446</v>
      </c>
      <c r="J10" s="3">
        <f>I10-(SUM(C4:C7)/7)</f>
        <v>1.7763568394002505E-15</v>
      </c>
    </row>
    <row r="11" spans="1:11" ht="15.75" customHeight="1" x14ac:dyDescent="0.25"/>
    <row r="12" spans="1:11" ht="15.75" customHeight="1" x14ac:dyDescent="0.25"/>
    <row r="13" spans="1:11" ht="15.75" customHeight="1" x14ac:dyDescent="0.25"/>
    <row r="14" spans="1:11" ht="15.75" customHeight="1" x14ac:dyDescent="0.25"/>
    <row r="15" spans="1:11" ht="15.75" customHeight="1" x14ac:dyDescent="0.25"/>
    <row r="16" spans="1:11" ht="15.75" customHeight="1" x14ac:dyDescent="0.25"/>
    <row r="17" spans="2:5" ht="15.75" customHeight="1" x14ac:dyDescent="0.25"/>
    <row r="18" spans="2:5" ht="15.75" customHeight="1" x14ac:dyDescent="0.25"/>
    <row r="19" spans="2:5" ht="15.75" customHeight="1" x14ac:dyDescent="0.25">
      <c r="B19" s="50"/>
      <c r="C19" s="50"/>
      <c r="D19" s="50"/>
      <c r="E19" s="50"/>
    </row>
    <row r="20" spans="2:5" ht="15.75" customHeight="1" x14ac:dyDescent="0.25">
      <c r="B20" s="50"/>
      <c r="C20" s="50"/>
      <c r="D20" s="50"/>
      <c r="E20" s="50"/>
    </row>
    <row r="21" spans="2:5" ht="15.75" customHeight="1" x14ac:dyDescent="0.25">
      <c r="B21" s="50"/>
      <c r="C21" s="50"/>
      <c r="D21" s="50"/>
      <c r="E21" s="50"/>
    </row>
    <row r="22" spans="2:5" ht="15.75" customHeight="1" x14ac:dyDescent="0.25">
      <c r="B22" s="50"/>
      <c r="C22" s="50"/>
      <c r="D22" s="50"/>
      <c r="E22" s="50"/>
    </row>
    <row r="23" spans="2:5" ht="15.75" customHeight="1" x14ac:dyDescent="0.25">
      <c r="B23" s="50"/>
      <c r="C23" s="50"/>
      <c r="D23" s="50"/>
      <c r="E23" s="50"/>
    </row>
    <row r="24" spans="2:5" ht="15.75" customHeight="1" x14ac:dyDescent="0.25">
      <c r="B24" s="50"/>
      <c r="C24" s="50"/>
      <c r="D24" s="50"/>
      <c r="E24" s="50"/>
    </row>
    <row r="25" spans="2:5" ht="15.75" customHeight="1" x14ac:dyDescent="0.25">
      <c r="B25" s="50"/>
      <c r="C25" s="50"/>
      <c r="D25" s="50"/>
      <c r="E25" s="50"/>
    </row>
    <row r="26" spans="2:5" ht="15.75" customHeight="1" x14ac:dyDescent="0.25">
      <c r="B26" s="50"/>
      <c r="C26" s="50"/>
      <c r="D26" s="50"/>
      <c r="E26" s="50"/>
    </row>
    <row r="27" spans="2:5" ht="15.75" customHeight="1" x14ac:dyDescent="0.25">
      <c r="B27" s="50"/>
      <c r="C27" s="50"/>
      <c r="D27" s="50"/>
      <c r="E27" s="50"/>
    </row>
    <row r="28" spans="2:5" ht="15.75" customHeight="1" x14ac:dyDescent="0.25">
      <c r="B28" s="50"/>
      <c r="C28" s="50"/>
      <c r="D28" s="50"/>
      <c r="E28" s="50"/>
    </row>
    <row r="29" spans="2:5" ht="15.75" customHeight="1" x14ac:dyDescent="0.25">
      <c r="B29" s="50"/>
      <c r="C29" s="50"/>
      <c r="D29" s="50"/>
      <c r="E29" s="50"/>
    </row>
    <row r="30" spans="2:5" ht="15.75" customHeight="1" x14ac:dyDescent="0.25"/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</vt:lpstr>
      <vt:lpstr>sprint1</vt:lpstr>
      <vt:lpstr>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</cp:lastModifiedBy>
  <dcterms:created xsi:type="dcterms:W3CDTF">2023-01-13T00:08:30Z</dcterms:created>
  <dcterms:modified xsi:type="dcterms:W3CDTF">2026-06-10T02:11:09Z</dcterms:modified>
</cp:coreProperties>
</file>