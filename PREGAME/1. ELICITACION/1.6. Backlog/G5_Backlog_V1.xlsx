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risd\Downloads\"/>
    </mc:Choice>
  </mc:AlternateContent>
  <xr:revisionPtr revIDLastSave="0" documentId="13_ncr:1_{6339B9E9-5812-435E-814C-0E265C8CA4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cklog" sheetId="1" r:id="rId1"/>
    <sheet name="sprint1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C9" i="3"/>
  <c r="D9" i="3"/>
  <c r="E9" i="3" s="1"/>
  <c r="F9" i="3" s="1"/>
  <c r="G9" i="3" s="1"/>
  <c r="H9" i="3" s="1"/>
  <c r="I9" i="3" s="1"/>
  <c r="J9" i="3" s="1"/>
  <c r="D10" i="3"/>
  <c r="E10" i="3" s="1"/>
  <c r="F10" i="3" s="1"/>
  <c r="G10" i="3" s="1"/>
  <c r="H10" i="3" s="1"/>
  <c r="I10" i="3" s="1"/>
  <c r="J10" i="3" s="1"/>
</calcChain>
</file>

<file path=xl/sharedStrings.xml><?xml version="1.0" encoding="utf-8"?>
<sst xmlns="http://schemas.openxmlformats.org/spreadsheetml/2006/main" count="151" uniqueCount="83">
  <si>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</si>
  <si>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</si>
  <si>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</si>
  <si>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</si>
  <si>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</si>
  <si>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</si>
  <si>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</si>
  <si>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</si>
  <si>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</si>
  <si>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Administrador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</si>
  <si>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</si>
  <si>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</si>
  <si>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</si>
  <si>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</si>
  <si>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</si>
  <si>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</si>
  <si>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</si>
  <si>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</si>
  <si>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</si>
  <si>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</si>
  <si>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</si>
  <si>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</si>
  <si>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</si>
  <si>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</si>
  <si>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</si>
  <si>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</si>
  <si>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</si>
  <si>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</si>
  <si>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</si>
  <si>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</si>
  <si>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</si>
  <si>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REQ001-4</t>
  </si>
  <si>
    <t>No iniciado</t>
  </si>
  <si>
    <t>Validar credenciales del administrador</t>
  </si>
  <si>
    <t>Ingresar al sistema con crendenciales unicas del administrador</t>
  </si>
  <si>
    <t>Ingresar al menu del sistema como administrador</t>
  </si>
  <si>
    <t>3 intentos de ingreso al sistema</t>
  </si>
  <si>
    <t>REQ002</t>
  </si>
  <si>
    <t>Almacenamiento de residentes en el sistema</t>
  </si>
  <si>
    <t>Registrar la información personal y de vivienda de cada residente dentro del sistema</t>
  </si>
  <si>
    <t>Acceder al formulario del sistema para registrar y almacenar correctamente los datos de los residentes junto con la información de su vivienda.</t>
  </si>
  <si>
    <t>validar datos antes de guardar</t>
  </si>
  <si>
    <t>REQ003</t>
  </si>
  <si>
    <t>Consulta y filtrado de información de residentes</t>
  </si>
  <si>
    <t>Buscar residentes mediante filtros especificados por el administrador</t>
  </si>
  <si>
    <t>Encontrar el residente mediante parámetros requeridos por el administrador</t>
  </si>
  <si>
    <t>realizar busqueda mediante los atributos</t>
  </si>
  <si>
    <t>REQ004</t>
  </si>
  <si>
    <t>Procesamiento y validación de alícuotas por el administrador</t>
  </si>
  <si>
    <t>Registrar el pago mensual de alícuotas de cada residente, con el monto y el período</t>
  </si>
  <si>
    <t>Llevar un control exacto de la cartera de pagos por vivienda para facilitar el cierre de cuentas mensual</t>
  </si>
  <si>
    <t>Solo permitirá seleccionar residentes existentes en la base de datos.</t>
  </si>
  <si>
    <t>Crear interfaz de inicio de sesión en Netbeans con lenguaje Java para los campos usuario y contraseña</t>
  </si>
  <si>
    <t>Cristian Suquillo</t>
  </si>
  <si>
    <t>Creación de la colección de usuarios con credenciales en MongoDB</t>
  </si>
  <si>
    <t>Configurar NoSQLBooster e integrar librerias de conexion MongoDB en Netbeans</t>
  </si>
  <si>
    <t>Implementar la validacion de las credenciales consultando la coleccion en MongoDB</t>
  </si>
  <si>
    <t>REQ002-1</t>
  </si>
  <si>
    <t>Crear la interfaz del formulario para el registro de residentes utilizando Netbeans, lenguaje Java</t>
  </si>
  <si>
    <t>Melanie Zuñiga</t>
  </si>
  <si>
    <t>REQ002-2</t>
  </si>
  <si>
    <t>Implementar validaciones de campos obligatorios en el formulario</t>
  </si>
  <si>
    <t>REQ002-3</t>
  </si>
  <si>
    <t>Crear la estructura de la base de datos para almacenar residentes y viviendas en MongoDB</t>
  </si>
  <si>
    <t>REQ002-4</t>
  </si>
  <si>
    <t>Programar la conexión y el guardado de datos del formulario en MongoDB</t>
  </si>
  <si>
    <t>REQ003-1</t>
  </si>
  <si>
    <t>Crear la interfaz de busqueda de residentes en Netbeans</t>
  </si>
  <si>
    <t>Paul Villacis</t>
  </si>
  <si>
    <t>REQ003-2</t>
  </si>
  <si>
    <t>Implementar filtros de busqueda por nombre, cedula y numero de vivienda</t>
  </si>
  <si>
    <t>REQ003-3</t>
  </si>
  <si>
    <t>Desarrollar la consulta a la base de datos para obtener los registros coincidentes</t>
  </si>
  <si>
    <t>REQ003-4</t>
  </si>
  <si>
    <t>Mostrar los resultados de la busqueda en una tabla dentro del sistema</t>
  </si>
  <si>
    <t>REQ004-1</t>
  </si>
  <si>
    <t>Crear interfaz de uso en JAVA para el formulario de registro de pagos y selección de residente</t>
  </si>
  <si>
    <t>REQ004-2</t>
  </si>
  <si>
    <t>Definición del esquema e inserción de la colección de alícuotas en MongoDB (monto, período, ID_residente, fecha)</t>
  </si>
  <si>
    <t>REQ004-3</t>
  </si>
  <si>
    <t>Implementar la lógica para consultar y listar los residentes desde la colección de MongoDB</t>
  </si>
  <si>
    <t>REQ004-4</t>
  </si>
  <si>
    <t>Configurar el Driver de MongoDB para Java y realizar la persistencia para insertar el documento del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</si>
</sst>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rgb="FF000000"/>
      <name val="Inconsolata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4A86E8"/>
      <name val="Arial"/>
      <family val="2"/>
      <scheme val="minor"/>
    </font>
    <font>
      <sz val="10"/>
      <color rgb="FF4A86E8"/>
      <name val="Calibri"/>
      <family val="2"/>
    </font>
    <font>
      <sz val="10"/>
      <color rgb="FF4472C4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285F4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0" borderId="1" xfId="0" applyFont="1" applyBorder="1"/>
    <xf numFmtId="0" fontId="2" fillId="2" borderId="1" xfId="0" applyFont="1" applyFill="1" applyBorder="1"/>
    <xf numFmtId="0" fontId="0" fillId="5" borderId="0" xfId="0" applyFill="1"/>
    <xf numFmtId="0" fontId="0" fillId="4" borderId="0" xfId="0" applyFill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8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8" fillId="6" borderId="6" xfId="0" applyFont="1" applyFill="1" applyBorder="1" applyAlignment="1">
      <alignment wrapText="1"/>
    </xf>
    <xf numFmtId="0" fontId="8" fillId="7" borderId="6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6" xfId="0" applyFont="1" applyBorder="1" applyAlignment="1">
      <alignment horizontal="right" wrapText="1"/>
    </xf>
    <xf numFmtId="0" fontId="7" fillId="0" borderId="6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9" fillId="0" borderId="6" xfId="0" applyFont="1" applyBorder="1" applyAlignment="1">
      <alignment wrapText="1"/>
    </xf>
    <xf numFmtId="0" fontId="8" fillId="0" borderId="6" xfId="0" applyFont="1" applyBorder="1"/>
    <xf numFmtId="0" fontId="8" fillId="6" borderId="6" xfId="0" applyFont="1" applyFill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-2</c:v>
                </c:pt>
                <c:pt idx="8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8</c:v>
                </c:pt>
                <c:pt idx="2">
                  <c:v>6.8571428571428577</c:v>
                </c:pt>
                <c:pt idx="3">
                  <c:v>5.7142857142857153</c:v>
                </c:pt>
                <c:pt idx="4">
                  <c:v>4.571428571428573</c:v>
                </c:pt>
                <c:pt idx="5">
                  <c:v>3.4285714285714302</c:v>
                </c:pt>
                <c:pt idx="6">
                  <c:v>2.2857142857142874</c:v>
                </c:pt>
                <c:pt idx="7">
                  <c:v>1.1428571428571446</c:v>
                </c:pt>
                <c:pt idx="8">
                  <c:v>1.7763568394002505E-15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91186</xdr:colOff>
      <xdr:row>11</xdr:row>
      <xdr:rowOff>17410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7"/>
  <sheetViews>
    <sheetView tabSelected="1" zoomScale="90" zoomScaleNormal="90" workbookViewId="0">
      <selection activeCell="B12" sqref="B12"/>
    </sheetView>
  </sheetViews>
  <sheetFormatPr baseColWidth="10" defaultColWidth="12.5703125" defaultRowHeight="15" customHeight="1" x14ac:dyDescent="0.2"/>
  <cols>
    <col min="1" max="1" width="8.28515625" customWidth="1"/>
    <col min="2" max="2" width="52.140625" bestFit="1" customWidth="1"/>
    <col min="3" max="3" width="13.42578125" customWidth="1"/>
    <col min="4" max="4" width="72" bestFit="1" customWidth="1"/>
    <col min="5" max="5" width="121.7109375" bestFit="1" customWidth="1"/>
    <col min="6" max="6" width="59.42578125" bestFit="1" customWidth="1"/>
  </cols>
  <sheetData>
    <row r="1" spans="1:8" ht="15" customHeight="1" thickBot="1" x14ac:dyDescent="0.25"/>
    <row r="2" spans="1:8" ht="15.75" customHeight="1" thickBot="1" x14ac:dyDescent="0.25">
      <c r="A2" s="7" t="s">
        <v>10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</row>
    <row r="3" spans="1:8" ht="16.5" customHeight="1" thickBot="1" x14ac:dyDescent="0.25">
      <c r="A3" s="9" t="s">
        <v>7</v>
      </c>
      <c r="B3" s="13" t="s">
        <v>33</v>
      </c>
      <c r="C3" s="11" t="s">
        <v>9</v>
      </c>
      <c r="D3" s="14" t="s">
        <v>34</v>
      </c>
      <c r="E3" s="14" t="s">
        <v>35</v>
      </c>
      <c r="F3" s="14" t="s">
        <v>36</v>
      </c>
      <c r="G3" s="10" t="s">
        <v>8</v>
      </c>
      <c r="H3" s="10" t="s">
        <v>32</v>
      </c>
    </row>
    <row r="4" spans="1:8" ht="15.75" customHeight="1" thickBot="1" x14ac:dyDescent="0.25">
      <c r="A4" s="9" t="s">
        <v>37</v>
      </c>
      <c r="B4" s="13" t="s">
        <v>38</v>
      </c>
      <c r="C4" s="11" t="s">
        <v>9</v>
      </c>
      <c r="D4" s="14" t="s">
        <v>39</v>
      </c>
      <c r="E4" s="14" t="s">
        <v>40</v>
      </c>
      <c r="F4" s="14" t="s">
        <v>41</v>
      </c>
      <c r="G4" s="10" t="s">
        <v>8</v>
      </c>
      <c r="H4" s="11" t="s">
        <v>32</v>
      </c>
    </row>
    <row r="5" spans="1:8" ht="15.75" customHeight="1" thickBot="1" x14ac:dyDescent="0.25">
      <c r="A5" s="12" t="s">
        <v>42</v>
      </c>
      <c r="B5" s="13" t="s">
        <v>43</v>
      </c>
      <c r="C5" s="11" t="s">
        <v>9</v>
      </c>
      <c r="D5" s="14" t="s">
        <v>44</v>
      </c>
      <c r="E5" s="14" t="s">
        <v>45</v>
      </c>
      <c r="F5" s="14" t="s">
        <v>46</v>
      </c>
      <c r="G5" s="10" t="s">
        <v>8</v>
      </c>
      <c r="H5" s="10" t="s">
        <v>32</v>
      </c>
    </row>
    <row r="6" spans="1:8" ht="15.75" customHeight="1" thickBot="1" x14ac:dyDescent="0.25">
      <c r="A6" s="12" t="s">
        <v>47</v>
      </c>
      <c r="B6" s="13" t="s">
        <v>48</v>
      </c>
      <c r="C6" s="11" t="s">
        <v>9</v>
      </c>
      <c r="D6" s="14" t="s">
        <v>49</v>
      </c>
      <c r="E6" s="14" t="s">
        <v>50</v>
      </c>
      <c r="F6" s="14" t="s">
        <v>51</v>
      </c>
      <c r="G6" s="10" t="s">
        <v>8</v>
      </c>
      <c r="H6" s="10" t="s">
        <v>32</v>
      </c>
    </row>
    <row r="7" spans="1:8" ht="15.75" customHeight="1" x14ac:dyDescent="0.2"/>
    <row r="8" spans="1:8" ht="15.75" customHeight="1" x14ac:dyDescent="0.2"/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zoomScaleNormal="100" workbookViewId="0">
      <selection activeCell="A8" sqref="A8"/>
    </sheetView>
  </sheetViews>
  <sheetFormatPr baseColWidth="10" defaultColWidth="12.5703125" defaultRowHeight="15" customHeight="1" x14ac:dyDescent="0.2"/>
  <cols>
    <col min="1" max="2" width="12.5703125" customWidth="1"/>
    <col min="3" max="3" width="23.85546875" bestFit="1" customWidth="1"/>
    <col min="4" max="4" width="20.42578125" bestFit="1" customWidth="1"/>
    <col min="5" max="5" width="41.28515625" bestFit="1" customWidth="1"/>
    <col min="6" max="6" width="56.140625" customWidth="1"/>
    <col min="7" max="7" width="29" bestFit="1" customWidth="1"/>
  </cols>
  <sheetData>
    <row r="1" spans="1:26" ht="15.75" customHeight="1" thickBo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thickBot="1" x14ac:dyDescent="0.25">
      <c r="A3" s="15"/>
      <c r="B3" s="16" t="s">
        <v>10</v>
      </c>
      <c r="C3" s="16" t="s">
        <v>0</v>
      </c>
      <c r="D3" s="16" t="s">
        <v>1</v>
      </c>
      <c r="E3" s="16" t="s">
        <v>11</v>
      </c>
      <c r="F3" s="16" t="s">
        <v>12</v>
      </c>
      <c r="G3" s="16" t="s">
        <v>4</v>
      </c>
      <c r="H3" s="16" t="s">
        <v>13</v>
      </c>
      <c r="I3" s="16" t="s">
        <v>14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thickBot="1" x14ac:dyDescent="0.25">
      <c r="A4" s="15"/>
      <c r="B4" s="17" t="s">
        <v>7</v>
      </c>
      <c r="C4" s="26" t="s">
        <v>33</v>
      </c>
      <c r="D4" s="17" t="s">
        <v>9</v>
      </c>
      <c r="E4" s="26" t="s">
        <v>34</v>
      </c>
      <c r="F4" s="26" t="s">
        <v>35</v>
      </c>
      <c r="G4" s="17"/>
      <c r="H4" s="17" t="s">
        <v>8</v>
      </c>
      <c r="I4" s="17" t="s">
        <v>32</v>
      </c>
      <c r="J4" s="15"/>
      <c r="K4" s="18"/>
      <c r="L4" s="18"/>
      <c r="M4" s="18"/>
      <c r="N4" s="18"/>
      <c r="O4" s="18"/>
      <c r="P4" s="18"/>
      <c r="Q4" s="18"/>
      <c r="R4" s="18"/>
      <c r="S4" s="15"/>
      <c r="T4" s="15"/>
      <c r="U4" s="15"/>
      <c r="V4" s="15"/>
      <c r="W4" s="15"/>
      <c r="X4" s="15"/>
      <c r="Y4" s="15"/>
      <c r="Z4" s="15"/>
    </row>
    <row r="5" spans="1:26" ht="15.75" customHeight="1" thickBot="1" x14ac:dyDescent="0.25">
      <c r="A5" s="15"/>
      <c r="B5" s="15"/>
      <c r="C5" s="19" t="s">
        <v>15</v>
      </c>
      <c r="D5" s="15"/>
      <c r="E5" s="15"/>
      <c r="F5" s="15"/>
      <c r="G5" s="19" t="s">
        <v>16</v>
      </c>
      <c r="H5" s="15"/>
      <c r="I5" s="19" t="s">
        <v>17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thickBot="1" x14ac:dyDescent="0.25">
      <c r="A6" s="15"/>
      <c r="B6" s="20" t="s">
        <v>18</v>
      </c>
      <c r="C6" s="27" t="s">
        <v>52</v>
      </c>
      <c r="D6" s="28"/>
      <c r="E6" s="28"/>
      <c r="F6" s="29"/>
      <c r="G6" s="15" t="s">
        <v>53</v>
      </c>
      <c r="H6" s="15"/>
      <c r="I6" s="21">
        <v>3</v>
      </c>
      <c r="J6" s="15"/>
      <c r="K6" s="15"/>
      <c r="L6" s="30"/>
      <c r="M6" s="31"/>
      <c r="N6" s="31"/>
      <c r="O6" s="32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thickBot="1" x14ac:dyDescent="0.25">
      <c r="A7" s="15"/>
      <c r="B7" s="20" t="s">
        <v>19</v>
      </c>
      <c r="C7" s="27" t="s">
        <v>54</v>
      </c>
      <c r="D7" s="28"/>
      <c r="E7" s="28"/>
      <c r="F7" s="29"/>
      <c r="G7" s="15" t="s">
        <v>53</v>
      </c>
      <c r="H7" s="15"/>
      <c r="I7" s="21">
        <v>2</v>
      </c>
      <c r="J7" s="15"/>
      <c r="K7" s="15"/>
      <c r="L7" s="30"/>
      <c r="M7" s="31"/>
      <c r="N7" s="31"/>
      <c r="O7" s="32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thickBot="1" x14ac:dyDescent="0.25">
      <c r="A8" s="15"/>
      <c r="B8" s="20" t="s">
        <v>20</v>
      </c>
      <c r="C8" s="27" t="s">
        <v>55</v>
      </c>
      <c r="D8" s="28"/>
      <c r="E8" s="28"/>
      <c r="F8" s="29"/>
      <c r="G8" s="15" t="s">
        <v>53</v>
      </c>
      <c r="H8" s="15"/>
      <c r="I8" s="21">
        <v>1</v>
      </c>
      <c r="J8" s="15"/>
      <c r="K8" s="15"/>
      <c r="L8" s="30"/>
      <c r="M8" s="31"/>
      <c r="N8" s="31"/>
      <c r="O8" s="32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thickBot="1" x14ac:dyDescent="0.25">
      <c r="A9" s="15"/>
      <c r="B9" s="22" t="s">
        <v>31</v>
      </c>
      <c r="C9" s="27" t="s">
        <v>56</v>
      </c>
      <c r="D9" s="28"/>
      <c r="E9" s="28"/>
      <c r="F9" s="29"/>
      <c r="G9" s="15" t="s">
        <v>53</v>
      </c>
      <c r="H9" s="15"/>
      <c r="I9" s="21">
        <v>2</v>
      </c>
      <c r="J9" s="15"/>
      <c r="K9" s="23"/>
      <c r="L9" s="30"/>
      <c r="M9" s="31"/>
      <c r="N9" s="31"/>
      <c r="O9" s="32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thickBo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thickBot="1" x14ac:dyDescent="0.25">
      <c r="A11" s="15"/>
      <c r="B11" s="17" t="s">
        <v>37</v>
      </c>
      <c r="C11" s="26" t="s">
        <v>38</v>
      </c>
      <c r="D11" s="17" t="s">
        <v>9</v>
      </c>
      <c r="E11" s="26" t="s">
        <v>39</v>
      </c>
      <c r="F11" s="26" t="s">
        <v>40</v>
      </c>
      <c r="G11" s="17"/>
      <c r="H11" s="17" t="s">
        <v>8</v>
      </c>
      <c r="I11" s="17" t="s">
        <v>32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thickBot="1" x14ac:dyDescent="0.25">
      <c r="A12" s="15"/>
      <c r="B12" s="15"/>
      <c r="C12" s="19" t="s">
        <v>15</v>
      </c>
      <c r="D12" s="15"/>
      <c r="E12" s="15"/>
      <c r="F12" s="15"/>
      <c r="G12" s="19" t="s">
        <v>16</v>
      </c>
      <c r="H12" s="15"/>
      <c r="I12" s="19" t="s">
        <v>17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thickBot="1" x14ac:dyDescent="0.25">
      <c r="A13" s="15"/>
      <c r="B13" s="24" t="s">
        <v>57</v>
      </c>
      <c r="C13" s="27" t="s">
        <v>58</v>
      </c>
      <c r="D13" s="28"/>
      <c r="E13" s="28"/>
      <c r="F13" s="29"/>
      <c r="G13" s="15" t="s">
        <v>59</v>
      </c>
      <c r="H13" s="15"/>
      <c r="I13" s="21">
        <v>4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thickBot="1" x14ac:dyDescent="0.25">
      <c r="A14" s="15"/>
      <c r="B14" s="24" t="s">
        <v>60</v>
      </c>
      <c r="C14" s="27" t="s">
        <v>61</v>
      </c>
      <c r="D14" s="28"/>
      <c r="E14" s="28"/>
      <c r="F14" s="29"/>
      <c r="G14" s="15" t="s">
        <v>59</v>
      </c>
      <c r="H14" s="15"/>
      <c r="I14" s="21">
        <v>6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thickBot="1" x14ac:dyDescent="0.25">
      <c r="A15" s="15"/>
      <c r="B15" s="24" t="s">
        <v>62</v>
      </c>
      <c r="C15" s="27" t="s">
        <v>63</v>
      </c>
      <c r="D15" s="28"/>
      <c r="E15" s="28"/>
      <c r="F15" s="29"/>
      <c r="G15" s="15" t="s">
        <v>59</v>
      </c>
      <c r="H15" s="15"/>
      <c r="I15" s="21">
        <v>4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thickBot="1" x14ac:dyDescent="0.25">
      <c r="A16" s="15"/>
      <c r="B16" s="20" t="s">
        <v>64</v>
      </c>
      <c r="C16" s="25" t="s">
        <v>65</v>
      </c>
      <c r="D16" s="25"/>
      <c r="E16" s="25"/>
      <c r="F16" s="25"/>
      <c r="G16" s="15" t="s">
        <v>59</v>
      </c>
      <c r="H16" s="15"/>
      <c r="I16" s="21">
        <v>6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thickBo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thickBot="1" x14ac:dyDescent="0.25">
      <c r="A18" s="15"/>
      <c r="B18" s="17" t="s">
        <v>42</v>
      </c>
      <c r="C18" s="26" t="s">
        <v>43</v>
      </c>
      <c r="D18" s="17" t="s">
        <v>9</v>
      </c>
      <c r="E18" s="26" t="s">
        <v>44</v>
      </c>
      <c r="F18" s="26" t="s">
        <v>45</v>
      </c>
      <c r="G18" s="17"/>
      <c r="H18" s="17" t="s">
        <v>8</v>
      </c>
      <c r="I18" s="17" t="s">
        <v>32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thickBot="1" x14ac:dyDescent="0.25">
      <c r="A19" s="15"/>
      <c r="B19" s="15"/>
      <c r="C19" s="19" t="s">
        <v>15</v>
      </c>
      <c r="D19" s="15"/>
      <c r="E19" s="15"/>
      <c r="F19" s="15"/>
      <c r="G19" s="19" t="s">
        <v>16</v>
      </c>
      <c r="H19" s="15"/>
      <c r="I19" s="19" t="s">
        <v>17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thickBot="1" x14ac:dyDescent="0.25">
      <c r="A20" s="15"/>
      <c r="B20" s="24" t="s">
        <v>66</v>
      </c>
      <c r="C20" s="25" t="s">
        <v>67</v>
      </c>
      <c r="D20" s="15"/>
      <c r="E20" s="15"/>
      <c r="F20" s="15"/>
      <c r="G20" s="15" t="s">
        <v>68</v>
      </c>
      <c r="H20" s="15"/>
      <c r="I20" s="21">
        <v>3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thickBot="1" x14ac:dyDescent="0.25">
      <c r="A21" s="15"/>
      <c r="B21" s="24" t="s">
        <v>69</v>
      </c>
      <c r="C21" s="25" t="s">
        <v>70</v>
      </c>
      <c r="D21" s="15"/>
      <c r="E21" s="15"/>
      <c r="F21" s="15"/>
      <c r="G21" s="15" t="s">
        <v>68</v>
      </c>
      <c r="H21" s="15"/>
      <c r="I21" s="21">
        <v>4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thickBot="1" x14ac:dyDescent="0.25">
      <c r="A22" s="15"/>
      <c r="B22" s="24" t="s">
        <v>71</v>
      </c>
      <c r="C22" s="25" t="s">
        <v>72</v>
      </c>
      <c r="D22" s="15"/>
      <c r="E22" s="15"/>
      <c r="F22" s="15"/>
      <c r="G22" s="15" t="s">
        <v>68</v>
      </c>
      <c r="H22" s="15"/>
      <c r="I22" s="21">
        <v>4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thickBot="1" x14ac:dyDescent="0.25">
      <c r="A23" s="15"/>
      <c r="B23" s="24" t="s">
        <v>73</v>
      </c>
      <c r="C23" s="25" t="s">
        <v>74</v>
      </c>
      <c r="D23" s="15"/>
      <c r="E23" s="15"/>
      <c r="F23" s="15"/>
      <c r="G23" s="15" t="s">
        <v>68</v>
      </c>
      <c r="H23" s="15"/>
      <c r="I23" s="21">
        <v>3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thickBo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thickBot="1" x14ac:dyDescent="0.25">
      <c r="A25" s="15"/>
      <c r="B25" s="17" t="s">
        <v>47</v>
      </c>
      <c r="C25" s="26" t="s">
        <v>48</v>
      </c>
      <c r="D25" s="17" t="s">
        <v>9</v>
      </c>
      <c r="E25" s="26" t="s">
        <v>49</v>
      </c>
      <c r="F25" s="26" t="s">
        <v>50</v>
      </c>
      <c r="G25" s="17"/>
      <c r="H25" s="17" t="s">
        <v>8</v>
      </c>
      <c r="I25" s="17" t="s">
        <v>32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thickBot="1" x14ac:dyDescent="0.25">
      <c r="A26" s="15"/>
      <c r="B26" s="15"/>
      <c r="C26" s="19" t="s">
        <v>15</v>
      </c>
      <c r="D26" s="15"/>
      <c r="E26" s="15"/>
      <c r="F26" s="15"/>
      <c r="G26" s="19" t="s">
        <v>16</v>
      </c>
      <c r="H26" s="15"/>
      <c r="I26" s="19" t="s">
        <v>17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thickBot="1" x14ac:dyDescent="0.25">
      <c r="A27" s="15"/>
      <c r="B27" s="24" t="s">
        <v>75</v>
      </c>
      <c r="C27" s="27" t="s">
        <v>76</v>
      </c>
      <c r="D27" s="28"/>
      <c r="E27" s="28"/>
      <c r="F27" s="29"/>
      <c r="G27" s="15" t="s">
        <v>53</v>
      </c>
      <c r="H27" s="15"/>
      <c r="I27" s="21">
        <v>4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thickBot="1" x14ac:dyDescent="0.25">
      <c r="A28" s="15"/>
      <c r="B28" s="24" t="s">
        <v>77</v>
      </c>
      <c r="C28" s="27" t="s">
        <v>78</v>
      </c>
      <c r="D28" s="28"/>
      <c r="E28" s="28"/>
      <c r="F28" s="29"/>
      <c r="G28" s="15" t="s">
        <v>53</v>
      </c>
      <c r="H28" s="15"/>
      <c r="I28" s="21">
        <v>2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thickBot="1" x14ac:dyDescent="0.25">
      <c r="A29" s="15"/>
      <c r="B29" s="24" t="s">
        <v>79</v>
      </c>
      <c r="C29" s="27" t="s">
        <v>80</v>
      </c>
      <c r="D29" s="28"/>
      <c r="E29" s="28"/>
      <c r="F29" s="29"/>
      <c r="G29" s="15" t="s">
        <v>53</v>
      </c>
      <c r="H29" s="15"/>
      <c r="I29" s="21">
        <v>3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thickBot="1" x14ac:dyDescent="0.25">
      <c r="A30" s="15"/>
      <c r="B30" s="20" t="s">
        <v>81</v>
      </c>
      <c r="C30" s="25" t="s">
        <v>82</v>
      </c>
      <c r="D30" s="25"/>
      <c r="E30" s="25"/>
      <c r="F30" s="25"/>
      <c r="G30" s="15" t="s">
        <v>53</v>
      </c>
      <c r="H30" s="15"/>
      <c r="I30" s="21">
        <v>4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thickBo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thickBo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thickBo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thickBo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thickBo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thickBo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thickBo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thickBo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thickBo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thickBo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thickBo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thickBo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thickBo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thickBo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thickBo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thickBo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thickBo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thickBo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thickBo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thickBo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thickBo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thickBo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thickBo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thickBo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thickBo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thickBo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thickBo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thickBo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thickBo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thickBo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thickBo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thickBo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thickBo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thickBo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thickBo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thickBo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thickBo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thickBo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thickBo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thickBo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thickBo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thickBo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thickBo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thickBo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thickBo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thickBo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thickBo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thickBo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thickBo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thickBo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thickBo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thickBo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thickBo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thickBo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thickBo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thickBo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thickBo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thickBo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thickBo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thickBo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thickBo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thickBo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thickBo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thickBo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thickBo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thickBo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thickBo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thickBo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thickBo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thickBo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thickBo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thickBo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thickBo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thickBo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thickBo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thickBo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thickBo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thickBo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thickBo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thickBo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thickBo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thickBo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thickBo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thickBo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thickBo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thickBo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thickBo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thickBo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thickBo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thickBo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thickBo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thickBo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thickBo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thickBo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thickBo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thickBo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thickBo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thickBo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thickBo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thickBo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thickBo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thickBo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thickBo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thickBo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thickBo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thickBo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thickBo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thickBo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thickBo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thickBo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thickBo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thickBo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thickBo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thickBo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thickBo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thickBo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thickBo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thickBo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thickBo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thickBo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thickBo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thickBo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thickBo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thickBo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thickBo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thickBo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thickBo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thickBo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thickBo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thickBo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thickBo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thickBo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thickBo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thickBo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thickBo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thickBo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thickBo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thickBo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thickBo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thickBo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thickBo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thickBo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thickBo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thickBo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thickBo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thickBo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thickBo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thickBo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thickBo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thickBo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thickBo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thickBo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thickBo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thickBo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thickBo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thickBo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thickBo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thickBo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thickBo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thickBo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thickBo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thickBo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thickBo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thickBo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thickBo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thickBo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thickBo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thickBo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thickBo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thickBo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thickBo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thickBo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thickBo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thickBo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thickBo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thickBo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thickBo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thickBo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thickBo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thickBo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thickBo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thickBo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thickBo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thickBo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thickBo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thickBo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thickBo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thickBo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thickBo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thickBo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thickBo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thickBo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thickBo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thickBo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thickBo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thickBo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thickBo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thickBo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thickBo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thickBo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thickBo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thickBo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thickBo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thickBo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thickBo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thickBo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thickBo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thickBo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thickBot="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thickBo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thickBo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thickBo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thickBo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thickBo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thickBo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thickBo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thickBo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thickBo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thickBo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thickBo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thickBo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thickBo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thickBo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thickBo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thickBo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thickBo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thickBo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thickBo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thickBo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thickBo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thickBo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thickBo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thickBo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thickBo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thickBot="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thickBot="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thickBot="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thickBot="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thickBot="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thickBot="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thickBot="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thickBot="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thickBot="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thickBot="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thickBot="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thickBot="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thickBot="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thickBot="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thickBot="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thickBot="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thickBot="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thickBo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thickBot="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thickBot="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thickBot="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thickBot="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thickBot="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thickBo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thickBot="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thickBot="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thickBot="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thickBot="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thickBot="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thickBot="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thickBot="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thickBot="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thickBot="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thickBot="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thickBot="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thickBot="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thickBot="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thickBot="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thickBot="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thickBot="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thickBot="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thickBot="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thickBot="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thickBot="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thickBot="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thickBot="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thickBot="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thickBot="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thickBot="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thickBot="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thickBot="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thickBot="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thickBot="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thickBot="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thickBot="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thickBot="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thickBot="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thickBot="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thickBot="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thickBot="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thickBot="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thickBot="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thickBot="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thickBot="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thickBot="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thickBot="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thickBot="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thickBot="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thickBot="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thickBot="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thickBot="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thickBot="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thickBot="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thickBot="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thickBot="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thickBot="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thickBot="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thickBot="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thickBot="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thickBot="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thickBot="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thickBot="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thickBot="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thickBot="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thickBot="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thickBot="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thickBot="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thickBot="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thickBot="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thickBot="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thickBot="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thickBot="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thickBot="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thickBot="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thickBot="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thickBot="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thickBot="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thickBot="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thickBot="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thickBot="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thickBot="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thickBot="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thickBot="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thickBot="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thickBot="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thickBot="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thickBot="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thickBot="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thickBot="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thickBot="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thickBot="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thickBot="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thickBot="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thickBot="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thickBot="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thickBot="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thickBot="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thickBot="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thickBot="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thickBot="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thickBot="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thickBot="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thickBot="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thickBot="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thickBot="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thickBot="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thickBot="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thickBot="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thickBot="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thickBot="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thickBot="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thickBot="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thickBot="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thickBot="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thickBot="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thickBot="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thickBot="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thickBot="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thickBot="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thickBot="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thickBot="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thickBot="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thickBot="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thickBot="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thickBot="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thickBot="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thickBot="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thickBot="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thickBot="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thickBot="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thickBot="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thickBot="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thickBot="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thickBot="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thickBot="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thickBot="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thickBot="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thickBot="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thickBot="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thickBot="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thickBot="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thickBot="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thickBot="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thickBot="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thickBot="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thickBot="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thickBot="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thickBot="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thickBot="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thickBot="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thickBot="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thickBot="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thickBot="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thickBot="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thickBot="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thickBot="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thickBot="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thickBot="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thickBot="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thickBot="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thickBot="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thickBot="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thickBot="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thickBot="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thickBot="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thickBot="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thickBot="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thickBot="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thickBot="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thickBot="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thickBot="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thickBot="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thickBot="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thickBot="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thickBot="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thickBot="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thickBot="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thickBot="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thickBot="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thickBot="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thickBot="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thickBot="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thickBot="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thickBot="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thickBot="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thickBot="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thickBot="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thickBot="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thickBot="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thickBot="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thickBot="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thickBot="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thickBot="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thickBot="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thickBot="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thickBot="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thickBot="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thickBot="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thickBot="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thickBot="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thickBot="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thickBot="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thickBot="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thickBot="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thickBot="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thickBot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thickBot="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thickBot="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thickBot="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thickBot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thickBot="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thickBot="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thickBot="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thickBot="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thickBot="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thickBot="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thickBot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thickBot="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thickBot="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thickBot="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thickBot="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thickBot="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thickBot="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thickBot="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thickBot="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thickBot="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thickBot="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thickBot="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thickBot="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thickBot="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thickBot="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thickBot="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thickBot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thickBot="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thickBot="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thickBot="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thickBot="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thickBot="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thickBot="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thickBot="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thickBot="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thickBot="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thickBot="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thickBot="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thickBot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thickBot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thickBot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thickBot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thickBot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thickBot="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thickBot="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thickBot="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thickBot="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thickBot="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thickBot="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thickBot="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thickBot="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thickBot="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thickBot="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thickBot="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thickBot="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thickBot="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thickBot="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thickBot="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thickBot="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thickBot="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thickBot="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thickBot="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thickBot="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thickBot="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thickBot="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thickBot="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thickBot="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thickBot="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thickBot="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thickBot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thickBot="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thickBot="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thickBot="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thickBot="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thickBot="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thickBot="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thickBot="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thickBot="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thickBot="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thickBot="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thickBot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thickBot="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thickBot="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thickBot="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thickBot="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thickBot="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thickBot="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thickBot="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thickBot="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thickBot="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thickBot="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thickBot="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thickBot="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thickBot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thickBot="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thickBot="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thickBot="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thickBot="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thickBot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thickBot="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thickBot="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thickBot="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thickBot="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thickBot="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thickBot="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thickBot="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thickBot="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thickBot="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thickBot="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thickBot="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thickBot="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thickBot="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thickBot="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thickBot="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thickBot="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thickBot="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thickBot="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thickBot="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thickBot="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thickBot="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thickBot="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thickBot="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thickBot="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thickBot="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thickBot="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thickBot="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thickBot="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thickBot="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thickBot="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thickBot="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thickBot="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thickBot="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thickBot="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thickBot="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thickBot="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thickBot="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thickBot="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thickBot="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thickBot="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thickBot="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thickBot="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thickBot="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thickBot="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thickBot="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thickBot="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thickBot="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thickBot="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thickBot="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thickBot="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thickBot="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thickBot="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thickBot="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thickBot="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thickBot="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thickBot="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thickBot="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thickBot="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thickBot="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thickBot="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thickBot="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thickBot="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thickBot="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thickBot="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thickBot="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thickBot="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thickBot="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thickBot="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thickBot="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thickBot="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thickBot="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thickBot="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thickBot="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thickBot="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thickBot="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thickBot="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thickBot="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thickBot="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thickBot="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thickBot="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thickBot="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thickBot="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thickBot="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thickBot="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thickBot="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thickBot="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thickBot="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thickBot="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thickBot="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thickBot="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thickBot="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thickBot="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thickBot="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thickBot="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thickBot="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thickBot="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thickBot="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thickBot="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thickBot="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thickBot="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thickBot="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thickBot="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thickBot="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thickBot="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thickBot="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thickBot="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thickBot="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thickBot="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thickBot="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thickBot="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thickBot="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thickBot="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thickBot="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thickBot="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thickBot="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thickBot="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thickBot="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thickBot="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thickBot="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thickBot="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thickBot="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thickBot="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thickBot="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thickBot="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thickBot="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thickBot="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thickBot="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thickBot="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thickBot="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thickBot="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thickBot="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thickBot="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thickBot="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thickBot="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thickBot="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thickBot="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thickBot="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thickBot="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thickBot="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thickBot="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thickBot="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thickBot="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thickBot="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thickBot="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thickBot="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thickBot="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thickBot="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thickBot="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thickBot="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thickBot="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thickBot="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thickBot="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thickBot="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thickBot="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thickBot="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thickBot="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thickBot="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thickBot="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thickBot="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thickBot="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thickBot="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thickBot="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thickBot="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thickBot="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thickBot="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thickBot="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thickBot="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thickBot="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thickBot="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thickBot="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thickBot="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thickBot="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thickBot="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thickBot="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thickBot="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thickBot="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thickBot="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thickBot="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thickBot="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thickBot="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thickBot="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thickBot="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thickBot="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thickBot="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thickBot="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thickBot="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thickBot="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thickBot="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thickBot="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thickBot="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thickBot="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thickBot="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thickBot="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thickBot="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thickBot="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thickBot="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thickBot="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thickBot="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thickBot="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thickBot="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thickBot="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thickBot="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thickBot="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thickBot="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thickBot="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thickBot="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thickBot="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thickBot="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thickBot="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thickBot="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thickBot="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thickBot="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thickBot="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thickBot="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thickBot="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thickBot="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thickBot="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thickBot="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thickBot="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thickBot="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thickBot="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thickBot="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thickBot="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thickBot="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thickBot="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thickBot="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thickBot="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thickBot="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thickBot="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thickBot="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thickBot="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thickBot="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thickBot="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thickBot="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thickBot="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thickBot="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thickBot="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thickBot="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thickBot="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thickBot="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thickBot="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thickBot="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thickBot="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thickBot="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thickBot="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thickBot="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thickBot="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thickBot="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thickBot="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thickBot="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thickBot="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thickBot="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thickBot="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thickBot="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thickBot="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thickBot="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thickBot="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thickBot="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thickBot="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thickBot="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thickBot="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thickBot="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thickBot="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thickBot="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thickBot="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thickBot="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thickBot="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thickBot="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thickBot="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thickBot="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thickBot="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thickBot="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thickBot="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thickBot="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thickBot="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thickBot="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thickBot="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thickBot="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thickBot="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thickBot="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thickBot="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thickBot="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thickBot="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thickBot="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thickBot="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thickBot="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thickBot="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thickBot="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thickBot="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thickBot="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thickBot="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thickBot="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thickBot="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thickBot="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thickBot="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thickBot="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thickBot="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thickBot="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thickBot="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thickBot="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thickBot="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thickBot="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thickBot="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thickBot="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thickBot="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thickBot="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thickBot="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thickBot="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thickBot="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thickBot="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thickBot="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thickBot="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thickBot="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thickBot="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thickBot="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thickBot="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thickBot="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thickBot="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thickBot="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thickBot="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thickBot="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thickBot="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thickBot="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thickBot="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thickBot="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thickBot="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thickBot="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thickBot="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thickBot="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thickBot="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thickBot="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thickBot="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thickBot="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thickBot="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thickBot="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thickBot="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thickBot="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thickBot="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thickBot="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thickBot="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thickBot="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thickBot="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thickBot="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thickBot="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thickBot="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thickBot="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thickBot="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thickBot="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thickBot="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thickBot="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thickBot="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thickBot="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thickBot="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thickBot="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thickBot="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thickBot="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thickBot="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thickBot="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thickBot="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thickBot="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thickBot="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thickBot="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thickBot="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thickBot="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thickBot="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thickBot="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thickBot="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thickBot="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thickBot="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thickBot="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thickBot="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" customHeight="1" thickBot="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" customHeight="1" thickBot="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" customHeight="1" thickBot="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" customHeight="1" thickBot="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" customHeight="1" thickBot="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" customHeight="1" thickBot="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" customHeight="1" thickBot="1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" customHeight="1" thickBot="1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" customHeight="1" thickBot="1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" customHeight="1" thickBot="1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" customHeight="1" thickBot="1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" customHeight="1" thickBot="1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" customHeight="1" thickBot="1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" customHeight="1" thickBot="1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" customHeight="1" thickBot="1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" customHeight="1" thickBot="1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" customHeight="1" thickBot="1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" customHeight="1" thickBot="1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" customHeight="1" thickBot="1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" customHeight="1" thickBot="1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" customHeight="1" thickBot="1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" customHeight="1" thickBot="1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" customHeight="1" thickBot="1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" customHeight="1" thickBot="1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" customHeight="1" thickBot="1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" customHeight="1" thickBot="1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" customHeight="1" thickBot="1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" customHeight="1" thickBot="1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" customHeight="1" thickBot="1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" customHeight="1" thickBot="1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" customHeight="1" thickBot="1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" customHeight="1" thickBot="1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" customHeight="1" thickBot="1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" customHeight="1" thickBot="1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" customHeight="1" thickBot="1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" customHeight="1" thickBot="1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" customHeight="1" thickBot="1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" customHeight="1" thickBot="1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" customHeight="1" thickBot="1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5" customHeight="1" thickBot="1" x14ac:dyDescent="0.2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5" customHeight="1" thickBot="1" x14ac:dyDescent="0.2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5" customHeight="1" thickBot="1" x14ac:dyDescent="0.2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5" customHeight="1" thickBot="1" x14ac:dyDescent="0.2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5" customHeight="1" thickBot="1" x14ac:dyDescent="0.2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</sheetData>
  <mergeCells count="14">
    <mergeCell ref="C29:F29"/>
    <mergeCell ref="C13:F13"/>
    <mergeCell ref="C14:F14"/>
    <mergeCell ref="C15:F15"/>
    <mergeCell ref="C27:F27"/>
    <mergeCell ref="C28:F28"/>
    <mergeCell ref="C6:F6"/>
    <mergeCell ref="C7:F7"/>
    <mergeCell ref="C8:F8"/>
    <mergeCell ref="C9:F9"/>
    <mergeCell ref="L6:O6"/>
    <mergeCell ref="L7:O7"/>
    <mergeCell ref="L8:O8"/>
    <mergeCell ref="L9:O9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2"/>
  <sheetViews>
    <sheetView zoomScaleNormal="100" workbookViewId="0">
      <selection activeCell="C11" sqref="C11"/>
    </sheetView>
  </sheetViews>
  <sheetFormatPr baseColWidth="10" defaultColWidth="12.5703125" defaultRowHeight="15" customHeight="1" x14ac:dyDescent="0.2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 x14ac:dyDescent="0.2"/>
    <row r="2" spans="1:11" ht="15.75" customHeight="1" x14ac:dyDescent="0.2"/>
    <row r="3" spans="1:11" ht="15.75" customHeight="1" x14ac:dyDescent="0.2">
      <c r="B3" s="1"/>
      <c r="C3" s="1" t="s">
        <v>17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 spans="1:11" ht="15.75" customHeight="1" x14ac:dyDescent="0.2">
      <c r="B4" t="s">
        <v>18</v>
      </c>
      <c r="C4" s="6">
        <v>3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1</v>
      </c>
      <c r="K4" s="5">
        <v>4</v>
      </c>
    </row>
    <row r="5" spans="1:11" ht="15.75" customHeight="1" x14ac:dyDescent="0.2">
      <c r="B5" t="s">
        <v>19</v>
      </c>
      <c r="C5" s="6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 s="5">
        <v>1</v>
      </c>
    </row>
    <row r="6" spans="1:11" ht="15.75" customHeight="1" x14ac:dyDescent="0.2">
      <c r="A6" s="1"/>
      <c r="B6" t="s">
        <v>20</v>
      </c>
      <c r="C6" s="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5">
        <v>2</v>
      </c>
    </row>
    <row r="7" spans="1:11" ht="15.75" customHeight="1" x14ac:dyDescent="0.2">
      <c r="A7" s="1"/>
      <c r="B7" t="s">
        <v>31</v>
      </c>
      <c r="C7" s="6">
        <v>2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 s="5">
        <v>4</v>
      </c>
    </row>
    <row r="8" spans="1:11" ht="15.75" customHeight="1" x14ac:dyDescent="0.2"/>
    <row r="9" spans="1:11" ht="15.75" customHeight="1" x14ac:dyDescent="0.4">
      <c r="B9" s="2" t="s">
        <v>29</v>
      </c>
      <c r="C9" s="3">
        <f>SUM(C4:C7)</f>
        <v>8</v>
      </c>
      <c r="D9" s="3">
        <f t="shared" ref="D9:J9" si="0">C9-SUM(D4:D7)</f>
        <v>5</v>
      </c>
      <c r="E9" s="4">
        <f t="shared" si="0"/>
        <v>3</v>
      </c>
      <c r="F9" s="3">
        <f>E9-SUM(F4:F7)</f>
        <v>1</v>
      </c>
      <c r="G9" s="3">
        <f t="shared" si="0"/>
        <v>0</v>
      </c>
      <c r="H9" s="3">
        <f t="shared" si="0"/>
        <v>0</v>
      </c>
      <c r="I9" s="3">
        <f t="shared" si="0"/>
        <v>-2</v>
      </c>
      <c r="J9" s="3">
        <f t="shared" si="0"/>
        <v>-3</v>
      </c>
    </row>
    <row r="10" spans="1:11" ht="15.75" customHeight="1" x14ac:dyDescent="0.4">
      <c r="B10" s="2" t="s">
        <v>30</v>
      </c>
      <c r="C10" s="3">
        <f>SUM(C4:C7)</f>
        <v>8</v>
      </c>
      <c r="D10" s="3">
        <f>C10-(SUM(C4:C7)/7)</f>
        <v>6.8571428571428577</v>
      </c>
      <c r="E10" s="4">
        <f>D10-(SUM(C4:C7)/7)</f>
        <v>5.7142857142857153</v>
      </c>
      <c r="F10" s="3">
        <f>E10-(SUM(C4:C7)/7)</f>
        <v>4.571428571428573</v>
      </c>
      <c r="G10" s="3">
        <f>F10-(SUM(C4:C7)/7)</f>
        <v>3.4285714285714302</v>
      </c>
      <c r="H10" s="3">
        <f>G10-(SUM(C4:C7)/7)</f>
        <v>2.2857142857142874</v>
      </c>
      <c r="I10" s="3">
        <f>H10-(SUM(C4:C7)/7)</f>
        <v>1.1428571428571446</v>
      </c>
      <c r="J10" s="3">
        <f>I10-(SUM(C4:C7)/7)</f>
        <v>1.7763568394002505E-15</v>
      </c>
    </row>
    <row r="11" spans="1:11" ht="15.75" customHeight="1" x14ac:dyDescent="0.2"/>
    <row r="12" spans="1:11" ht="15.75" customHeight="1" x14ac:dyDescent="0.2"/>
    <row r="13" spans="1:11" ht="15.75" customHeight="1" x14ac:dyDescent="0.2"/>
    <row r="14" spans="1:11" ht="15.75" customHeight="1" x14ac:dyDescent="0.2"/>
    <row r="15" spans="1:11" ht="15.75" customHeight="1" x14ac:dyDescent="0.2"/>
    <row r="16" spans="1:11" ht="15.75" customHeight="1" x14ac:dyDescent="0.2"/>
    <row r="17" spans="2:5" ht="15.75" customHeight="1" x14ac:dyDescent="0.2"/>
    <row r="18" spans="2:5" ht="15.75" customHeight="1" x14ac:dyDescent="0.2"/>
    <row r="19" spans="2:5" ht="15.75" customHeight="1" x14ac:dyDescent="0.2">
      <c r="B19" s="33"/>
      <c r="C19" s="33"/>
      <c r="D19" s="33"/>
      <c r="E19" s="33"/>
    </row>
    <row r="20" spans="2:5" ht="15.75" customHeight="1" x14ac:dyDescent="0.2">
      <c r="B20" s="33"/>
      <c r="C20" s="33"/>
      <c r="D20" s="33"/>
      <c r="E20" s="33"/>
    </row>
    <row r="21" spans="2:5" ht="15.75" customHeight="1" x14ac:dyDescent="0.2">
      <c r="B21" s="33"/>
      <c r="C21" s="33"/>
      <c r="D21" s="33"/>
      <c r="E21" s="33"/>
    </row>
    <row r="22" spans="2:5" ht="15.75" customHeight="1" x14ac:dyDescent="0.2">
      <c r="B22" s="33"/>
      <c r="C22" s="33"/>
      <c r="D22" s="33"/>
      <c r="E22" s="33"/>
    </row>
    <row r="23" spans="2:5" ht="15.75" customHeight="1" x14ac:dyDescent="0.2">
      <c r="B23" s="33"/>
      <c r="C23" s="33"/>
      <c r="D23" s="33"/>
      <c r="E23" s="33"/>
    </row>
    <row r="24" spans="2:5" ht="15.75" customHeight="1" x14ac:dyDescent="0.2">
      <c r="B24" s="33"/>
      <c r="C24" s="33"/>
      <c r="D24" s="33"/>
      <c r="E24" s="33"/>
    </row>
    <row r="25" spans="2:5" ht="15.75" customHeight="1" x14ac:dyDescent="0.2">
      <c r="B25" s="33"/>
      <c r="C25" s="33"/>
      <c r="D25" s="33"/>
      <c r="E25" s="33"/>
    </row>
    <row r="26" spans="2:5" ht="15.75" customHeight="1" x14ac:dyDescent="0.2">
      <c r="B26" s="33"/>
      <c r="C26" s="33"/>
      <c r="D26" s="33"/>
      <c r="E26" s="33"/>
    </row>
    <row r="27" spans="2:5" ht="15.75" customHeight="1" x14ac:dyDescent="0.2">
      <c r="B27" s="33"/>
      <c r="C27" s="33"/>
      <c r="D27" s="33"/>
      <c r="E27" s="33"/>
    </row>
    <row r="28" spans="2:5" ht="15.75" customHeight="1" x14ac:dyDescent="0.2">
      <c r="B28" s="33"/>
      <c r="C28" s="33"/>
      <c r="D28" s="33"/>
      <c r="E28" s="33"/>
    </row>
    <row r="29" spans="2:5" ht="15.75" customHeight="1" x14ac:dyDescent="0.2">
      <c r="B29" s="33"/>
      <c r="C29" s="33"/>
      <c r="D29" s="33"/>
      <c r="E29" s="33"/>
    </row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B19:E29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CRISTIAN DAVID SUQUILLO AYO</cp:lastModifiedBy>
  <dcterms:created xsi:type="dcterms:W3CDTF">2023-01-13T00:08:30Z</dcterms:created>
  <dcterms:modified xsi:type="dcterms:W3CDTF">2026-05-29T12:23:52Z</dcterms:modified>
</cp:coreProperties>
</file>