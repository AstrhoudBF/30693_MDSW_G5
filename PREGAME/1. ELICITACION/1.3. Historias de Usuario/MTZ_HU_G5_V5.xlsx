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8_{B5ED3CE8-1C79-4C88-83B0-402453BCA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<sst xmlns="http://schemas.openxmlformats.org/spreadsheetml/2006/main" count="156" uniqueCount="114">
  <si>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</si>
  <si>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</si>
  <si>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</si>
  <si>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</si>
  <si>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</si>
  <si>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</si>
  <si>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</si>
  <si>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</si>
  <si>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</si>
  <si>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</si>
  <si>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</si>
  <si>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</si>
  <si>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</si>
  <si>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</si>
  <si>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</si>
  <si>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</si>
  <si>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</si>
  <si>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</si>
  <si>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Administrador del conjunto 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</si>
  <si>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</si>
  <si>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</si>
  <si>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</si>
  <si>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</si>
  <si>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</si>
  <si>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</si>
  <si>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</si>
  <si>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</si>
  <si>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</si>
  <si>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</si>
  <si>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</si>
  <si>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</si>
  <si>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</si>
  <si>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</si>
  <si>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Permitir al admistrador ingresar al sistema </t>
  </si>
  <si>
    <t>Cristian Suquillo</t>
  </si>
  <si>
    <t>El acceso solo será permitido con credenciales correctas</t>
  </si>
  <si>
    <t>Acceso al sistema</t>
  </si>
  <si>
    <t>REQ002</t>
  </si>
  <si>
    <t>Registro de residentes</t>
  </si>
  <si>
    <t>Almacenar los residentes del conjunto en el sistema</t>
  </si>
  <si>
    <t>Melanie Zuñiga</t>
  </si>
  <si>
    <t>Validar datos antes de guardar</t>
  </si>
  <si>
    <t>REQ003</t>
  </si>
  <si>
    <t>Buscar residentes por nombre, cédula o número de vivienda</t>
  </si>
  <si>
    <t>Localizar rápidamente los residentes</t>
  </si>
  <si>
    <t>Paul Villacis</t>
  </si>
  <si>
    <t>El sistema deberá mostrar únicamente registros coincidentes o mensaje de “residente no encontrado”</t>
  </si>
  <si>
    <t>Busqueda de residentes</t>
  </si>
  <si>
    <t>REQ004</t>
  </si>
  <si>
    <t>REQ005</t>
  </si>
  <si>
    <t>Administrador del conjunto</t>
  </si>
  <si>
    <t>Control de pagos</t>
  </si>
  <si>
    <t>REQ006</t>
  </si>
  <si>
    <t>Joshep Chisaguano</t>
  </si>
  <si>
    <t>REQ007</t>
  </si>
  <si>
    <t>Mantener información actualizada y corregir errores</t>
  </si>
  <si>
    <t>Los cambios realizados deberán actualizarse correctamente en el sistema</t>
  </si>
  <si>
    <t>Actualizacion información</t>
  </si>
  <si>
    <t>Abril - Agosto</t>
  </si>
  <si>
    <t>Llevar el control de pagos de alícuotas por vivienda</t>
  </si>
  <si>
    <t>El pago debe quedar asociado al perfil del residente y reflejarse en su historial.</t>
  </si>
  <si>
    <t>Registro de alícuotas</t>
  </si>
  <si>
    <t>Registrar cobros de locales, parqueaderos y, si es el caso, de la sede social</t>
  </si>
  <si>
    <t>Administrar ingresos por arrendamiento de espacios comunes</t>
  </si>
  <si>
    <t>El sistema debe mostrar el total recaudado por cada categoría de arriendo.</t>
  </si>
  <si>
    <t xml:space="preserve">Diferenciar el tipo de arriendo </t>
  </si>
  <si>
    <t>Gestión de arriendos</t>
  </si>
  <si>
    <t>Controlar multas por asambleas, mingas o mascotas</t>
  </si>
  <si>
    <t>La multa debe aparecer como saldo pendiente en el perfil del residente hasta ser pagada.</t>
  </si>
  <si>
    <t>Registro de multas</t>
  </si>
  <si>
    <t>Reporte detallado por residente y tipo de pago</t>
  </si>
  <si>
    <t>Visualizar si los pagos son de alícuotas, arriendos o multas</t>
  </si>
  <si>
    <t xml:space="preserve"> Administrador del conjunto</t>
  </si>
  <si>
    <t>El informe debe listar cada pago con su fecha, monto y concepto (alícuota/arriendo/multa).</t>
  </si>
  <si>
    <t>Informe de Residentes</t>
  </si>
  <si>
    <t>REQ008</t>
  </si>
  <si>
    <t>REQ009</t>
  </si>
  <si>
    <t>Consultar residentes que adeudan pagos</t>
  </si>
  <si>
    <t>Facilitar la gestión de cobro y seguimiento</t>
  </si>
  <si>
    <t xml:space="preserve">Adminstrador del conjunto </t>
  </si>
  <si>
    <t>El sistema debe mostrar únicamente los registros que coinciden con el estado "pendiente".</t>
  </si>
  <si>
    <t>Se desarrollará en NetBeans utilizando Java, implementando una pantalla de inicio de sesión que permita al administrador ingresar un usuario y contraseña únicos. El sistema validará las credenciales almacenadas en la base de datos y permitirá el acceso únicamente cuando sean correctas. Después de tres intentos fallidos, la cuenta se bloqueará temporalmente por seguridad.</t>
  </si>
  <si>
    <t>Se desarrollará un módulo de registro de alícuotas en NetBeans, donde el administrador podrá seleccionar un residente, ingresar el monto y período correspondiente, y almacenar la información en la base de datos para llevar el control de pagos.</t>
  </si>
  <si>
    <t>Se implementará un módulo de gestión de arriendos en Java, permitiendo registrar locales, parqueaderos o espacios comunales arrendados, asociarlos a un residente y registrar los valores de pago correspondientes</t>
  </si>
  <si>
    <t>Se implementará un módulo de generación de informes en Java, capaz de consultar la base de datos y generar reportes detallados de pagos, multas, alícuotas y arriendos, con filtros por residente, fecha o tipo de transacción.</t>
  </si>
  <si>
    <t>Se desarrollarán interfaces en NetBeans para la actualización de información, permitiendo modificar datos de residentes y registros financieros. El sistema validará los cambios antes de guardarlos en la base de datos.</t>
  </si>
  <si>
    <t>El sistema deberá permitir el registro de residentes</t>
  </si>
  <si>
    <t>El sistema deberá permitir el registro de multas</t>
  </si>
  <si>
    <t xml:space="preserve"> El sistema deberá permitir el acceso del administrador</t>
  </si>
  <si>
    <t xml:space="preserve">Ingresar al sistema con una sesión exclusiva del administrador </t>
  </si>
  <si>
    <t xml:space="preserve"> Registrar residentes con sus datos personales y de vivienda </t>
  </si>
  <si>
    <t xml:space="preserve"> El sistema deberá permitir la búsqueda de residentes</t>
  </si>
  <si>
    <t xml:space="preserve"> El sistema deberá permitir el registro de alícuotas</t>
  </si>
  <si>
    <t xml:space="preserve"> El sistema deberá permitir la gestión de arriendos</t>
  </si>
  <si>
    <t>Asignar cobros por multas específicass</t>
  </si>
  <si>
    <t>El sistema deberá permitir la generación de reportes.</t>
  </si>
  <si>
    <t xml:space="preserve"> El sistema deberá permitir actualizar información</t>
  </si>
  <si>
    <t xml:space="preserve"> El sistema deberá permitir el control de deudores</t>
  </si>
  <si>
    <t xml:space="preserve">Registrar pagos mensuales de alícuotas de cada residente </t>
  </si>
  <si>
    <t xml:space="preserve">Actualizar datos de residentes o pagos registrados </t>
  </si>
  <si>
    <t>Se implementará un módulo de control de deudores en Java, que consultará automáticamente los registros de pagos pendientes y mostrará listados filtrados de residentes con obligaciones vencidas o pendientes de cancelación.</t>
  </si>
  <si>
    <t>Se desarrollará un formulario en NetBeans para registrar multas, permitiendo seleccionar al residente, indicar el motivo de la sanción (asamblea, mascota o minga) y registrar el valor correspondiente para su posterior seguimiento</t>
  </si>
  <si>
    <t>El sistema deberá contar con un menú principal de navegación</t>
  </si>
  <si>
    <t>Permitir al administrador acceder a todos los módulos del sistema desde una interfaz central</t>
  </si>
  <si>
    <t>Tras iniciar sesión, el sistema debe mostrar el menú con todas las opciones disponibles, cada opción debe redirigir correctamente al módulo correspondiente.</t>
  </si>
  <si>
    <t>El menú debe mostrarse únicamente tras un inicio de sesión exitoso</t>
  </si>
  <si>
    <t>Menú principal</t>
  </si>
  <si>
    <t>REQ010</t>
  </si>
  <si>
    <t>Acceder a los módulos del sistema de forma organizada después de iniciar sesión</t>
  </si>
  <si>
    <t>Se desarrollará en NetBeans utilizando Java, implementando una interfaz principal que muestre un menú organizado con los diferentes módulos del sistema. El administrador podrá acceder a cada módulo mediante opciones claramente definidas.</t>
  </si>
  <si>
    <t>Después de 3 intentos fallidos, se bloqueará el acceso al sistema por 25 segundos</t>
  </si>
  <si>
    <t>Se desarrollará un formulario en NetBeans para a los propietarios, permitiendo ingresar datos como nombres, número de vivienda, cédula, teléfono, dirección, información acerca de las personas que viven con el y si tiene mascotas o no. La información será validada antes de almacenarse en la base de datos para garantizar la integridad de los registros.</t>
  </si>
  <si>
    <t>El registro solo podrá completarse cuando todos los campos obligatorios estén llenos y validados correctamente</t>
  </si>
  <si>
    <t>Se implementará en Java mediante NetBeans un módulo de búsqueda con filtros por nombre, cédula o número de vivienda. Los resultados se mostrarán en una ventana emergente con todos los datos del 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</si>
</sst>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4" fillId="3" borderId="6" xfId="0" applyFont="1" applyFill="1" applyBorder="1"/>
    <xf numFmtId="0" fontId="15" fillId="5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21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8" xfId="0" applyFont="1" applyFill="1" applyBorder="1"/>
    <xf numFmtId="0" fontId="10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0" fillId="0" borderId="6" xfId="0" applyBorder="1"/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wrapText="1"/>
    </xf>
    <xf numFmtId="0" fontId="2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23" fillId="6" borderId="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17" fillId="5" borderId="8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18" fillId="0" borderId="0" xfId="0" applyFont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0" fillId="2" borderId="15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3" fillId="4" borderId="3" xfId="0" applyFont="1" applyFill="1" applyBorder="1" applyAlignment="1">
      <alignment horizontal="center" vertical="center"/>
    </xf>
    <xf numFmtId="0" fontId="12" fillId="0" borderId="5" xfId="0" applyFont="1" applyBorder="1"/>
    <xf numFmtId="0" fontId="3" fillId="5" borderId="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21" xfId="0" applyFont="1" applyBorder="1"/>
    <xf numFmtId="0" fontId="12" fillId="0" borderId="23" xfId="0" applyFont="1" applyBorder="1"/>
    <xf numFmtId="0" fontId="13" fillId="4" borderId="8" xfId="0" applyFont="1" applyFill="1" applyBorder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13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3" fillId="5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2" fillId="0" borderId="22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7"/>
  <sheetViews>
    <sheetView showGridLines="0" tabSelected="1" topLeftCell="A9" zoomScale="80" zoomScaleNormal="80" workbookViewId="0">
      <selection activeCell="J10" sqref="J10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19921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9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202.95" customHeight="1" x14ac:dyDescent="0.25">
      <c r="B6" s="44" t="s">
        <v>15</v>
      </c>
      <c r="C6" s="39" t="s">
        <v>89</v>
      </c>
      <c r="D6" s="39" t="s">
        <v>88</v>
      </c>
      <c r="E6" s="39" t="s">
        <v>33</v>
      </c>
      <c r="F6" s="39" t="s">
        <v>18</v>
      </c>
      <c r="G6" s="39" t="s">
        <v>81</v>
      </c>
      <c r="H6" s="39" t="s">
        <v>34</v>
      </c>
      <c r="I6" s="35">
        <v>6</v>
      </c>
      <c r="J6" s="45">
        <v>46174</v>
      </c>
      <c r="K6" s="35" t="s">
        <v>16</v>
      </c>
      <c r="L6" s="35" t="s">
        <v>20</v>
      </c>
      <c r="M6" s="38" t="s">
        <v>35</v>
      </c>
      <c r="N6" s="39" t="s">
        <v>110</v>
      </c>
      <c r="O6" s="39" t="s">
        <v>36</v>
      </c>
    </row>
    <row r="7" spans="2:16" ht="202.95" customHeight="1" x14ac:dyDescent="0.25">
      <c r="B7" s="44" t="s">
        <v>37</v>
      </c>
      <c r="C7" s="39" t="s">
        <v>108</v>
      </c>
      <c r="D7" s="39" t="s">
        <v>102</v>
      </c>
      <c r="E7" s="39" t="s">
        <v>103</v>
      </c>
      <c r="F7" s="39" t="s">
        <v>50</v>
      </c>
      <c r="G7" s="39" t="s">
        <v>109</v>
      </c>
      <c r="H7" s="39" t="s">
        <v>53</v>
      </c>
      <c r="I7" s="39">
        <v>4</v>
      </c>
      <c r="J7" s="45">
        <v>46174</v>
      </c>
      <c r="K7" s="39" t="s">
        <v>16</v>
      </c>
      <c r="L7" s="39" t="s">
        <v>20</v>
      </c>
      <c r="M7" s="38" t="s">
        <v>104</v>
      </c>
      <c r="N7" s="39" t="s">
        <v>105</v>
      </c>
      <c r="O7" s="39" t="s">
        <v>106</v>
      </c>
    </row>
    <row r="8" spans="2:16" ht="171" customHeight="1" x14ac:dyDescent="0.25">
      <c r="B8" s="44" t="s">
        <v>42</v>
      </c>
      <c r="C8" s="39" t="s">
        <v>90</v>
      </c>
      <c r="D8" s="39" t="s">
        <v>86</v>
      </c>
      <c r="E8" s="39" t="s">
        <v>39</v>
      </c>
      <c r="F8" s="39" t="s">
        <v>18</v>
      </c>
      <c r="G8" s="39" t="s">
        <v>111</v>
      </c>
      <c r="H8" s="39" t="s">
        <v>40</v>
      </c>
      <c r="I8" s="37">
        <v>6</v>
      </c>
      <c r="J8" s="45">
        <v>46174</v>
      </c>
      <c r="K8" s="35" t="s">
        <v>16</v>
      </c>
      <c r="L8" s="39" t="s">
        <v>20</v>
      </c>
      <c r="M8" s="39" t="s">
        <v>112</v>
      </c>
      <c r="N8" s="39" t="s">
        <v>41</v>
      </c>
      <c r="O8" s="39" t="s">
        <v>38</v>
      </c>
    </row>
    <row r="9" spans="2:16" ht="143.4" customHeight="1" x14ac:dyDescent="0.3">
      <c r="B9" s="44" t="s">
        <v>48</v>
      </c>
      <c r="C9" s="39" t="s">
        <v>43</v>
      </c>
      <c r="D9" s="46" t="s">
        <v>91</v>
      </c>
      <c r="E9" s="39" t="s">
        <v>44</v>
      </c>
      <c r="F9" s="39" t="s">
        <v>18</v>
      </c>
      <c r="G9" s="39" t="s">
        <v>113</v>
      </c>
      <c r="H9" s="39" t="s">
        <v>45</v>
      </c>
      <c r="I9" s="35">
        <v>6</v>
      </c>
      <c r="J9" s="45">
        <v>46174</v>
      </c>
      <c r="K9" s="35" t="s">
        <v>16</v>
      </c>
      <c r="L9" s="35" t="s">
        <v>20</v>
      </c>
      <c r="M9" s="38" t="s">
        <v>46</v>
      </c>
      <c r="N9" s="39"/>
      <c r="O9" s="39" t="s">
        <v>47</v>
      </c>
      <c r="P9" s="28"/>
    </row>
    <row r="10" spans="2:16" ht="130.19999999999999" customHeight="1" x14ac:dyDescent="0.3">
      <c r="B10" s="44" t="s">
        <v>49</v>
      </c>
      <c r="C10" s="39" t="s">
        <v>98</v>
      </c>
      <c r="D10" s="46" t="s">
        <v>92</v>
      </c>
      <c r="E10" s="39" t="s">
        <v>59</v>
      </c>
      <c r="F10" s="39" t="s">
        <v>50</v>
      </c>
      <c r="G10" s="39" t="s">
        <v>82</v>
      </c>
      <c r="H10" s="39" t="s">
        <v>34</v>
      </c>
      <c r="I10" s="35">
        <v>6</v>
      </c>
      <c r="J10" s="45" t="s">
        <v>58</v>
      </c>
      <c r="K10" s="35" t="s">
        <v>19</v>
      </c>
      <c r="L10" s="35" t="s">
        <v>20</v>
      </c>
      <c r="M10" s="38" t="s">
        <v>60</v>
      </c>
      <c r="N10" s="39"/>
      <c r="O10" s="39" t="s">
        <v>61</v>
      </c>
      <c r="P10" s="28"/>
    </row>
    <row r="11" spans="2:16" ht="129" customHeight="1" x14ac:dyDescent="0.3">
      <c r="B11" s="44" t="s">
        <v>52</v>
      </c>
      <c r="C11" s="39" t="s">
        <v>62</v>
      </c>
      <c r="D11" s="46" t="s">
        <v>93</v>
      </c>
      <c r="E11" s="39" t="s">
        <v>63</v>
      </c>
      <c r="F11" s="39" t="s">
        <v>50</v>
      </c>
      <c r="G11" s="39" t="s">
        <v>83</v>
      </c>
      <c r="H11" s="39" t="s">
        <v>40</v>
      </c>
      <c r="I11" s="35">
        <v>6</v>
      </c>
      <c r="J11" s="45" t="s">
        <v>58</v>
      </c>
      <c r="K11" s="35" t="s">
        <v>19</v>
      </c>
      <c r="L11" s="39" t="s">
        <v>20</v>
      </c>
      <c r="M11" s="38" t="s">
        <v>64</v>
      </c>
      <c r="N11" s="39" t="s">
        <v>65</v>
      </c>
      <c r="O11" s="39" t="s">
        <v>66</v>
      </c>
      <c r="P11" s="28"/>
    </row>
    <row r="12" spans="2:16" ht="144.6" customHeight="1" x14ac:dyDescent="0.3">
      <c r="B12" s="44" t="s">
        <v>54</v>
      </c>
      <c r="C12" s="39" t="s">
        <v>94</v>
      </c>
      <c r="D12" s="46" t="s">
        <v>87</v>
      </c>
      <c r="E12" s="39" t="s">
        <v>67</v>
      </c>
      <c r="F12" s="39" t="s">
        <v>50</v>
      </c>
      <c r="G12" s="39" t="s">
        <v>101</v>
      </c>
      <c r="H12" s="39" t="s">
        <v>45</v>
      </c>
      <c r="I12" s="35">
        <v>6</v>
      </c>
      <c r="J12" s="45" t="s">
        <v>58</v>
      </c>
      <c r="K12" s="35" t="s">
        <v>19</v>
      </c>
      <c r="L12" s="35" t="s">
        <v>20</v>
      </c>
      <c r="M12" s="38" t="s">
        <v>68</v>
      </c>
      <c r="N12" s="39"/>
      <c r="O12" s="39" t="s">
        <v>69</v>
      </c>
      <c r="P12" s="28"/>
    </row>
    <row r="13" spans="2:16" ht="121.2" customHeight="1" x14ac:dyDescent="0.25">
      <c r="B13" s="44" t="s">
        <v>75</v>
      </c>
      <c r="C13" s="39" t="s">
        <v>70</v>
      </c>
      <c r="D13" s="39" t="s">
        <v>95</v>
      </c>
      <c r="E13" s="47" t="s">
        <v>71</v>
      </c>
      <c r="F13" s="39" t="s">
        <v>72</v>
      </c>
      <c r="G13" s="39" t="s">
        <v>84</v>
      </c>
      <c r="H13" s="39" t="s">
        <v>53</v>
      </c>
      <c r="I13" s="37">
        <v>6</v>
      </c>
      <c r="J13" s="45" t="s">
        <v>58</v>
      </c>
      <c r="K13" s="35" t="s">
        <v>19</v>
      </c>
      <c r="L13" s="35" t="s">
        <v>17</v>
      </c>
      <c r="M13" s="39" t="s">
        <v>73</v>
      </c>
      <c r="N13" s="39"/>
      <c r="O13" s="39" t="s">
        <v>74</v>
      </c>
      <c r="P13" s="28"/>
    </row>
    <row r="14" spans="2:16" ht="125.4" customHeight="1" x14ac:dyDescent="0.25">
      <c r="B14" s="44" t="s">
        <v>76</v>
      </c>
      <c r="C14" s="39" t="s">
        <v>99</v>
      </c>
      <c r="D14" s="39" t="s">
        <v>96</v>
      </c>
      <c r="E14" s="47" t="s">
        <v>55</v>
      </c>
      <c r="F14" s="39" t="s">
        <v>18</v>
      </c>
      <c r="G14" s="39" t="s">
        <v>85</v>
      </c>
      <c r="H14" s="39" t="s">
        <v>53</v>
      </c>
      <c r="I14" s="37">
        <v>6</v>
      </c>
      <c r="J14" s="45" t="s">
        <v>58</v>
      </c>
      <c r="K14" s="35" t="s">
        <v>19</v>
      </c>
      <c r="L14" s="35" t="s">
        <v>17</v>
      </c>
      <c r="M14" s="39" t="s">
        <v>56</v>
      </c>
      <c r="N14" s="39"/>
      <c r="O14" s="39" t="s">
        <v>57</v>
      </c>
      <c r="P14" s="28"/>
    </row>
    <row r="15" spans="2:16" ht="139.94999999999999" customHeight="1" x14ac:dyDescent="0.25">
      <c r="B15" s="44" t="s">
        <v>107</v>
      </c>
      <c r="C15" s="39" t="s">
        <v>77</v>
      </c>
      <c r="D15" s="39" t="s">
        <v>97</v>
      </c>
      <c r="E15" s="47" t="s">
        <v>78</v>
      </c>
      <c r="F15" s="39" t="s">
        <v>79</v>
      </c>
      <c r="G15" s="48" t="s">
        <v>100</v>
      </c>
      <c r="H15" s="39" t="s">
        <v>45</v>
      </c>
      <c r="I15" s="35">
        <v>6</v>
      </c>
      <c r="J15" s="45" t="s">
        <v>58</v>
      </c>
      <c r="K15" s="35" t="s">
        <v>19</v>
      </c>
      <c r="L15" s="35" t="s">
        <v>17</v>
      </c>
      <c r="M15" s="39" t="s">
        <v>80</v>
      </c>
      <c r="N15" s="39"/>
      <c r="O15" s="44" t="s">
        <v>51</v>
      </c>
    </row>
    <row r="16" spans="2:16" ht="114" customHeight="1" x14ac:dyDescent="0.25">
      <c r="E16" s="41"/>
    </row>
    <row r="17" spans="2:15" ht="13.8" x14ac:dyDescent="0.25">
      <c r="B17" s="40"/>
      <c r="C17" s="41"/>
      <c r="D17" s="41"/>
      <c r="E17" s="30"/>
      <c r="F17" s="41"/>
      <c r="G17" s="41"/>
      <c r="H17" s="41"/>
      <c r="I17" s="41"/>
      <c r="J17" s="42"/>
      <c r="K17" s="41"/>
      <c r="L17" s="41"/>
      <c r="M17" s="43"/>
      <c r="N17" s="43"/>
      <c r="O17" s="41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3"/>
      <c r="M18" s="34"/>
      <c r="N18" s="32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2"/>
      <c r="N19" s="32"/>
      <c r="O19" s="32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39.7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39.75" customHeight="1" x14ac:dyDescent="0.25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39.75" customHeight="1" x14ac:dyDescent="0.25">
      <c r="B23" s="29"/>
      <c r="C23" s="30"/>
      <c r="D23" s="30"/>
      <c r="E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39.75" customHeight="1" x14ac:dyDescent="0.25">
      <c r="B24" s="29"/>
      <c r="C24" s="30"/>
      <c r="D24" s="30"/>
      <c r="E24" s="30"/>
      <c r="F24" s="30"/>
      <c r="G24" s="30"/>
      <c r="H24" s="30"/>
      <c r="I24" s="31"/>
      <c r="J24" s="32"/>
      <c r="K24" s="31"/>
      <c r="L24" s="31"/>
      <c r="M24" s="30"/>
      <c r="N24" s="30"/>
      <c r="O24" s="30"/>
    </row>
    <row r="25" spans="2:15" ht="39.75" customHeight="1" x14ac:dyDescent="0.25">
      <c r="B25" s="29"/>
      <c r="C25" s="30"/>
      <c r="D25" s="30"/>
      <c r="E25" s="30"/>
      <c r="F25" s="30"/>
      <c r="G25" s="30"/>
      <c r="H25" s="30"/>
      <c r="I25" s="31"/>
      <c r="J25" s="32"/>
      <c r="K25" s="31"/>
      <c r="L25" s="31"/>
      <c r="M25" s="30"/>
      <c r="N25" s="30"/>
      <c r="O25" s="30"/>
    </row>
    <row r="26" spans="2:15" ht="19.5" customHeight="1" x14ac:dyDescent="0.25">
      <c r="B26" s="29"/>
      <c r="C26" s="30"/>
      <c r="D26" s="30"/>
      <c r="F26" s="30"/>
      <c r="G26" s="30"/>
      <c r="H26" s="30"/>
      <c r="I26" s="31"/>
      <c r="J26" s="32"/>
      <c r="K26" s="31"/>
      <c r="L26" s="31"/>
      <c r="M26" s="30"/>
      <c r="N26" s="30"/>
      <c r="O26" s="30"/>
    </row>
    <row r="27" spans="2:15" ht="19.5" customHeight="1" x14ac:dyDescent="0.25">
      <c r="I27" s="3"/>
      <c r="J27" s="3"/>
      <c r="K27" s="6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25">
      <c r="I31" s="1"/>
      <c r="J31" s="1"/>
      <c r="K31" s="7"/>
      <c r="L31" s="3"/>
    </row>
    <row r="32" spans="2:15" ht="19.5" customHeight="1" x14ac:dyDescent="0.25">
      <c r="I32" s="1"/>
      <c r="J32" s="1"/>
      <c r="K32" s="7"/>
      <c r="L32" s="3"/>
    </row>
    <row r="33" spans="9:13" ht="19.5" customHeight="1" x14ac:dyDescent="0.3">
      <c r="I33" s="1"/>
      <c r="J33" s="1"/>
      <c r="K33" s="2"/>
      <c r="L33" s="3"/>
    </row>
    <row r="34" spans="9:13" ht="19.5" customHeight="1" x14ac:dyDescent="0.3">
      <c r="I34" s="1"/>
      <c r="J34" s="1"/>
      <c r="K34" s="2"/>
      <c r="L34" s="3"/>
    </row>
    <row r="35" spans="9:13" ht="19.5" customHeight="1" x14ac:dyDescent="0.3">
      <c r="I35" s="1"/>
      <c r="J35" s="1"/>
      <c r="K35" s="2"/>
      <c r="L35" s="3"/>
    </row>
    <row r="36" spans="9:13" ht="19.5" customHeight="1" x14ac:dyDescent="0.3">
      <c r="I36" s="1"/>
      <c r="J36" s="1"/>
      <c r="K36" s="2" t="s">
        <v>16</v>
      </c>
      <c r="L36" s="1" t="s">
        <v>17</v>
      </c>
      <c r="M36" s="4"/>
    </row>
    <row r="37" spans="9:13" ht="19.5" customHeight="1" x14ac:dyDescent="0.3">
      <c r="I37" s="1"/>
      <c r="J37" s="1"/>
      <c r="K37" s="2" t="s">
        <v>19</v>
      </c>
      <c r="L37" s="1" t="s">
        <v>20</v>
      </c>
      <c r="M37" s="4"/>
    </row>
    <row r="38" spans="9:13" ht="19.5" customHeight="1" x14ac:dyDescent="0.3">
      <c r="I38" s="1"/>
      <c r="J38" s="1"/>
      <c r="K38" s="2" t="s">
        <v>21</v>
      </c>
      <c r="L38" s="1" t="s">
        <v>22</v>
      </c>
      <c r="M38" s="4"/>
    </row>
    <row r="39" spans="9:13" ht="19.5" customHeight="1" x14ac:dyDescent="0.3">
      <c r="I39" s="1"/>
      <c r="J39" s="1"/>
      <c r="K39" s="2"/>
      <c r="L39" s="1" t="s">
        <v>23</v>
      </c>
      <c r="M39" s="4"/>
    </row>
    <row r="40" spans="9:13" ht="19.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3">
      <c r="I1001" s="1"/>
      <c r="J1001" s="1"/>
      <c r="K1001" s="2"/>
      <c r="L1001" s="3"/>
    </row>
    <row r="1002" spans="9:12" ht="15.75" customHeight="1" x14ac:dyDescent="0.3">
      <c r="I1002" s="1"/>
      <c r="J1002" s="1"/>
      <c r="K1002" s="2"/>
      <c r="L1002" s="3"/>
    </row>
    <row r="1003" spans="9:12" ht="15.75" customHeight="1" x14ac:dyDescent="0.3">
      <c r="I1003" s="1"/>
      <c r="J1003" s="1"/>
      <c r="K1003" s="2"/>
      <c r="L1003" s="3"/>
    </row>
    <row r="1004" spans="9:12" ht="15.75" customHeight="1" x14ac:dyDescent="0.3">
      <c r="I1004" s="1"/>
      <c r="J1004" s="1"/>
      <c r="K1004" s="2"/>
      <c r="L1004" s="3"/>
    </row>
    <row r="1005" spans="9:12" ht="15.75" customHeight="1" x14ac:dyDescent="0.3">
      <c r="I1005" s="1"/>
      <c r="J1005" s="1"/>
      <c r="K1005" s="2"/>
      <c r="L1005" s="3"/>
    </row>
    <row r="1006" spans="9:12" ht="15.75" customHeight="1" x14ac:dyDescent="0.25">
      <c r="I1006" s="3"/>
      <c r="J1006" s="3"/>
      <c r="K1006" s="6"/>
      <c r="L1006" s="3"/>
    </row>
    <row r="1007" spans="9:12" ht="15" customHeight="1" x14ac:dyDescent="0.25">
      <c r="I1007" s="3"/>
      <c r="J1007" s="3"/>
      <c r="K1007" s="6"/>
      <c r="L1007" s="3"/>
    </row>
  </sheetData>
  <mergeCells count="1">
    <mergeCell ref="B3:O3"/>
  </mergeCells>
  <phoneticPr fontId="25" type="noConversion"/>
  <dataValidations count="2">
    <dataValidation type="list" allowBlank="1" showErrorMessage="1" sqref="L17:L26 L6:L15" xr:uid="{00000000-0002-0000-0000-000000000000}">
      <formula1>$L$36:$L$39</formula1>
    </dataValidation>
    <dataValidation type="list" allowBlank="1" showErrorMessage="1" sqref="K17:K26 K6:K15" xr:uid="{00000000-0002-0000-0000-000001000000}">
      <formula1>$K$36:$K$38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Normal="100" workbookViewId="0">
      <selection activeCell="D10" sqref="D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89" t="s">
        <v>24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70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9" t="s">
        <v>25</v>
      </c>
      <c r="F9" s="70"/>
      <c r="G9" s="11"/>
      <c r="H9" s="69" t="s">
        <v>11</v>
      </c>
      <c r="I9" s="70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37</v>
      </c>
      <c r="D10" s="14"/>
      <c r="E10" s="91" t="str">
        <f>VLOOKUP(C10,'Formato descripción HU'!B6:O26,5,0)</f>
        <v>Administrador del conjunto</v>
      </c>
      <c r="F10" s="92"/>
      <c r="G10" s="15"/>
      <c r="H10" s="71" t="str">
        <f>VLOOKUP(C10,'Formato descripción HU'!B6:O26,11,0)</f>
        <v>En proceso</v>
      </c>
      <c r="I10" s="70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26</v>
      </c>
      <c r="D12" s="14"/>
      <c r="E12" s="69" t="s">
        <v>10</v>
      </c>
      <c r="F12" s="70"/>
      <c r="G12" s="15"/>
      <c r="H12" s="69" t="s">
        <v>27</v>
      </c>
      <c r="I12" s="70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HU'!B6:O26,8,0)</f>
        <v>4</v>
      </c>
      <c r="D13" s="14"/>
      <c r="E13" s="71" t="str">
        <f>VLOOKUP(C10,'Formato descripción HU'!B6:O26,10,0)</f>
        <v>Alta</v>
      </c>
      <c r="F13" s="70"/>
      <c r="G13" s="15"/>
      <c r="H13" s="71" t="str">
        <f>VLOOKUP(C10,'Formato descripción HU'!B6:O26,7,0)</f>
        <v>Joshep Chisaguano</v>
      </c>
      <c r="I13" s="70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72" t="s">
        <v>28</v>
      </c>
      <c r="D15" s="80" t="str">
        <f>VLOOKUP(C10,'Formato descripción HU'!B6:O26,3,0)</f>
        <v>El sistema deberá contar con un menú principal de navegación</v>
      </c>
      <c r="E15" s="74"/>
      <c r="F15" s="12"/>
      <c r="G15" s="72" t="s">
        <v>29</v>
      </c>
      <c r="H15" s="80" t="str">
        <f>VLOOKUP(C10,'Formato descripción HU'!B6:O26,4,0)</f>
        <v>Permitir al administrador acceder a todos los módulos del sistema desde una interfaz central</v>
      </c>
      <c r="I15" s="101"/>
      <c r="J15" s="74"/>
      <c r="K15" s="12"/>
      <c r="L15" s="51" t="s">
        <v>30</v>
      </c>
      <c r="M15" s="54" t="str">
        <f>VLOOKUP(C10,'Formato descripción HU'!B6:O26,6,0)</f>
        <v>Se desarrollará en NetBeans utilizando Java, implementando una interfaz principal que muestre un menú organizado con los diferentes módulos del sistema. El administrador podrá acceder a cada módulo mediante opciones claramente definidas.</v>
      </c>
      <c r="N15" s="55"/>
      <c r="O15" s="56"/>
      <c r="P15" s="27"/>
    </row>
    <row r="16" spans="2:16" ht="19.5" customHeight="1" x14ac:dyDescent="0.25">
      <c r="B16" s="26"/>
      <c r="C16" s="52"/>
      <c r="D16" s="78"/>
      <c r="E16" s="79"/>
      <c r="F16" s="12"/>
      <c r="G16" s="52"/>
      <c r="H16" s="78"/>
      <c r="I16" s="50"/>
      <c r="J16" s="79"/>
      <c r="K16" s="12"/>
      <c r="L16" s="52"/>
      <c r="M16" s="57"/>
      <c r="N16" s="58"/>
      <c r="O16" s="59"/>
      <c r="P16" s="27"/>
    </row>
    <row r="17" spans="2:16" ht="19.5" customHeight="1" x14ac:dyDescent="0.25">
      <c r="B17" s="26"/>
      <c r="C17" s="53"/>
      <c r="D17" s="75"/>
      <c r="E17" s="76"/>
      <c r="F17" s="12"/>
      <c r="G17" s="53"/>
      <c r="H17" s="75"/>
      <c r="I17" s="102"/>
      <c r="J17" s="76"/>
      <c r="K17" s="12"/>
      <c r="L17" s="53"/>
      <c r="M17" s="60"/>
      <c r="N17" s="61"/>
      <c r="O17" s="62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73" t="s">
        <v>31</v>
      </c>
      <c r="D19" s="74"/>
      <c r="E19" s="63" t="str">
        <f>VLOOKUP(C10,'Formato descripción HU'!B6:O25,14,0)</f>
        <v>Menú principal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27"/>
    </row>
    <row r="20" spans="2:16" ht="19.5" customHeight="1" x14ac:dyDescent="0.25">
      <c r="B20" s="26"/>
      <c r="C20" s="75"/>
      <c r="D20" s="76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77" t="s">
        <v>32</v>
      </c>
      <c r="D22" s="74"/>
      <c r="E22" s="80" t="str">
        <f>VLOOKUP(C10,'Formato descripción HU'!B6:O26,12,0)</f>
        <v>Tras iniciar sesión, el sistema debe mostrar el menú con todas las opciones disponibles, cada opción debe redirigir correctamente al módulo correspondiente.</v>
      </c>
      <c r="F22" s="81"/>
      <c r="G22" s="81"/>
      <c r="H22" s="82"/>
      <c r="I22" s="12"/>
      <c r="J22" s="77" t="s">
        <v>13</v>
      </c>
      <c r="K22" s="74"/>
      <c r="L22" s="80" t="str">
        <f>VLOOKUP(C10,'Formato descripción HU'!B6:O26,13,0)</f>
        <v>El menú debe mostrarse únicamente tras un inicio de sesión exitoso</v>
      </c>
      <c r="M22" s="93"/>
      <c r="N22" s="93"/>
      <c r="O22" s="94"/>
      <c r="P22" s="27"/>
    </row>
    <row r="23" spans="2:16" ht="19.5" customHeight="1" x14ac:dyDescent="0.25">
      <c r="B23" s="26"/>
      <c r="C23" s="78"/>
      <c r="D23" s="79"/>
      <c r="E23" s="83"/>
      <c r="F23" s="84"/>
      <c r="G23" s="84"/>
      <c r="H23" s="85"/>
      <c r="I23" s="12"/>
      <c r="J23" s="78"/>
      <c r="K23" s="79"/>
      <c r="L23" s="95"/>
      <c r="M23" s="96"/>
      <c r="N23" s="96"/>
      <c r="O23" s="97"/>
      <c r="P23" s="27"/>
    </row>
    <row r="24" spans="2:16" ht="19.5" customHeight="1" x14ac:dyDescent="0.25">
      <c r="B24" s="26"/>
      <c r="C24" s="75"/>
      <c r="D24" s="76"/>
      <c r="E24" s="86"/>
      <c r="F24" s="87"/>
      <c r="G24" s="87"/>
      <c r="H24" s="88"/>
      <c r="I24" s="12"/>
      <c r="J24" s="75"/>
      <c r="K24" s="76"/>
      <c r="L24" s="98"/>
      <c r="M24" s="99"/>
      <c r="N24" s="99"/>
      <c r="O24" s="100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HU'!$B$6:$B$26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WINDOWS</cp:lastModifiedBy>
  <cp:revision/>
  <cp:lastPrinted>2022-11-25T05:25:55Z</cp:lastPrinted>
  <dcterms:created xsi:type="dcterms:W3CDTF">2019-10-21T15:37:14Z</dcterms:created>
  <dcterms:modified xsi:type="dcterms:W3CDTF">2026-06-10T02:11:15Z</dcterms:modified>
  <cp:category/>
  <cp:contentStatus/>
</cp:coreProperties>
</file>