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27cbf565a2f01d/Documentos/Tercer Semestre/Metodologia/Proyecto/"/>
    </mc:Choice>
  </mc:AlternateContent>
  <xr:revisionPtr revIDLastSave="1" documentId="8_{100058C1-540F-43D3-B9F9-FEB6FBF1CA65}" xr6:coauthVersionLast="47" xr6:coauthVersionMax="47" xr10:uidLastSave="{8CAF5E38-D47D-46EE-ABB0-6594C456E1A6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<sst xmlns="http://schemas.openxmlformats.org/spreadsheetml/2006/main" count="147" uniqueCount="106">
  <si>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</si>
  <si>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</si>
  <si>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</si>
  <si>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</si>
  <si>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</si>
  <si>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</si>
  <si>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</si>
  <si>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</si>
  <si>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</si>
  <si>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</si>
  <si>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</si>
  <si>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</si>
  <si>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</si>
  <si>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</si>
  <si>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</si>
  <si>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</si>
  <si>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</si>
  <si>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</si>
  <si>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</si>
  <si>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</si>
  <si>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</si>
  <si>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</si>
  <si>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</si>
  <si>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</si>
  <si>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</si>
  <si>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</si>
  <si>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</si>
  <si>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</si>
  <si>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</si>
  <si>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</si>
  <si>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</si>
  <si>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</si>
  <si>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</si>
  <si>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El sistema debe permitir el acceso del administrador</t>
  </si>
  <si>
    <t>Ingresar al sistema con una sesión exclusiva del administrador</t>
  </si>
  <si>
    <t xml:space="preserve">Permitir al admistrador ingresar al sistema </t>
  </si>
  <si>
    <t>Se creará un usuario y contraseña única para el administrador, validando credenciales.</t>
  </si>
  <si>
    <t>Cristian Suquillo</t>
  </si>
  <si>
    <t>El acceso solo será permitido con credenciales correctas</t>
  </si>
  <si>
    <t>Después de 3 intentos fallidos, se bloqueará temporalmente el acceso al sistema</t>
  </si>
  <si>
    <t>Acceso al sistema</t>
  </si>
  <si>
    <t>REQ002</t>
  </si>
  <si>
    <t>Registro de residentes</t>
  </si>
  <si>
    <t>Registrar residentes con sus datos personales y de vivienda</t>
  </si>
  <si>
    <t>Almacenar los residentes del conjunto en el sistema</t>
  </si>
  <si>
    <t>Melanie Zuñiga</t>
  </si>
  <si>
    <t>El registro solo podrá completarse cuando todos los campos obligatorios estén llenos correctamente</t>
  </si>
  <si>
    <t>Validar datos antes de guardar</t>
  </si>
  <si>
    <t>REQ003</t>
  </si>
  <si>
    <t>Buscar residentes por nombre, cédula o número de vivienda</t>
  </si>
  <si>
    <t>Localizar rápidamente los residentes</t>
  </si>
  <si>
    <t>Acceder a un módulo de búsqueda con filtros para mostrar resultados precisos según lo ingresado</t>
  </si>
  <si>
    <t>Paul Villacis</t>
  </si>
  <si>
    <t>El sistema deberá mostrar únicamente registros coincidentes o mensaje de “residente no encontrado”</t>
  </si>
  <si>
    <t>Busqueda de residentes</t>
  </si>
  <si>
    <t>REQ004</t>
  </si>
  <si>
    <t xml:space="preserve">Ingresar los datos solicitados en el sistema: nombres, número de vivienda, cédula, teléfono, dirección </t>
  </si>
  <si>
    <t>REQ005</t>
  </si>
  <si>
    <t>Administrador del conjunto</t>
  </si>
  <si>
    <t>Control de pagos</t>
  </si>
  <si>
    <t>REQ006</t>
  </si>
  <si>
    <t>Joshep Chisaguano</t>
  </si>
  <si>
    <t>REQ007</t>
  </si>
  <si>
    <t>El sistema debe permitir el registro de residentes</t>
  </si>
  <si>
    <t>El sistema debe permitir la búsqueda de residentes</t>
  </si>
  <si>
    <t>El sistema debe permitir actualizar información</t>
  </si>
  <si>
    <t xml:space="preserve"> Actualizar datos de residentes o pagos registrados</t>
  </si>
  <si>
    <t>Mantener información actualizada y corregir errores</t>
  </si>
  <si>
    <t>Editar información previamente registrada y guardar cambios</t>
  </si>
  <si>
    <t>Los cambios realizados deberán actualizarse correctamente en el sistema</t>
  </si>
  <si>
    <t>Actualizacion información</t>
  </si>
  <si>
    <t>Abril - Agosto</t>
  </si>
  <si>
    <t>El sistema debe permitir el registro de alícuotas</t>
  </si>
  <si>
    <t>Llevar el control de pagos de alícuotas por vivienda</t>
  </si>
  <si>
    <t>Acceder a un módulo de registro de alícuotas vinculado al residente, seleccionando el mes y monto correspondiente.</t>
  </si>
  <si>
    <t>Registrar pagos mensuales de alícuotas de cada residente</t>
  </si>
  <si>
    <t>El pago debe quedar asociado al perfil del residente y reflejarse en su historial.</t>
  </si>
  <si>
    <t>Registro de alícuotas</t>
  </si>
  <si>
    <t>El sistema debe permitir la gestión de arriendos</t>
  </si>
  <si>
    <t>Registrar cobros de locales, parqueaderos y, si es el caso, de la sede social</t>
  </si>
  <si>
    <t>Administrar ingresos por arrendamiento de espacios comunes</t>
  </si>
  <si>
    <t>Acceder a un módulo de gestión para elegir tipo de arriendo, residente responsable y monto pactado.</t>
  </si>
  <si>
    <t>El sistema debe mostrar el total recaudado por cada categoría de arriendo.</t>
  </si>
  <si>
    <t xml:space="preserve">Diferenciar el tipo de arriendo </t>
  </si>
  <si>
    <t>Gestión de arriendos</t>
  </si>
  <si>
    <t>El sistema debe permitir el registro de multas</t>
  </si>
  <si>
    <t>Asignar cobros por infracciones específicas</t>
  </si>
  <si>
    <t>Controlar multas por asambleas, mingas o mascotas</t>
  </si>
  <si>
    <t>La multa debe aparecer como saldo pendiente en el perfil del residente hasta ser pagada.</t>
  </si>
  <si>
    <t>Registro de multas</t>
  </si>
  <si>
    <t>El sistema debe permitir la generación de informes</t>
  </si>
  <si>
    <t>Reporte detallado por residente y tipo de pago</t>
  </si>
  <si>
    <t>Visualizar si los pagos son de alícuotas, arriendos o multas</t>
  </si>
  <si>
    <t xml:space="preserve"> Administrador del conjunto</t>
  </si>
  <si>
    <t>Consulta filtrada por residente que genera un resumen de ingresos en pantalla.</t>
  </si>
  <si>
    <t>Acceder a un módulo de selección del residente y motivo de la multa (Asamblea, Minga, Mascotas).</t>
  </si>
  <si>
    <t>El informe debe listar cada pago con su fecha, monto y concepto (alícuota/arriendo/multa).</t>
  </si>
  <si>
    <t>Informe de Residentes</t>
  </si>
  <si>
    <t>REQ008</t>
  </si>
  <si>
    <t>REQ009</t>
  </si>
  <si>
    <t>El sistema debe permitir el control de deudores</t>
  </si>
  <si>
    <t>Consultar residentes que adeudan pagos</t>
  </si>
  <si>
    <t>Facilitar la gestión de cobro y seguimiento</t>
  </si>
  <si>
    <t xml:space="preserve">Adminstrador del conjunto </t>
  </si>
  <si>
    <t>Acceder a un módulo de búsqueda con filtros para mostrar residentes con saldos pendientes.</t>
  </si>
  <si>
    <t>El sistema debe mostrar únicamente los registros que coinciden con el estado "pendiente".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</si>
</sst>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vertical="center"/>
    </xf>
    <xf numFmtId="0" fontId="3" fillId="3" borderId="6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8" xfId="0" applyFont="1" applyFill="1" applyBorder="1"/>
    <xf numFmtId="0" fontId="9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0" fillId="0" borderId="6" xfId="0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15" fillId="0" borderId="24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22" fillId="6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4" xfId="0" applyFont="1" applyBorder="1"/>
    <xf numFmtId="0" fontId="16" fillId="5" borderId="8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17" fillId="0" borderId="0" xfId="0" applyFont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21" xfId="0" applyFont="1" applyBorder="1" applyAlignment="1">
      <alignment wrapText="1"/>
    </xf>
    <xf numFmtId="0" fontId="20" fillId="0" borderId="22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19" fillId="2" borderId="15" xfId="0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2" fillId="4" borderId="3" xfId="0" applyFont="1" applyFill="1" applyBorder="1" applyAlignment="1">
      <alignment horizontal="center" vertical="center"/>
    </xf>
    <xf numFmtId="0" fontId="11" fillId="0" borderId="5" xfId="0" applyFont="1" applyBorder="1"/>
    <xf numFmtId="0" fontId="2" fillId="5" borderId="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0" borderId="21" xfId="0" applyFont="1" applyBorder="1"/>
    <xf numFmtId="0" fontId="11" fillId="0" borderId="23" xfId="0" applyFont="1" applyBorder="1"/>
    <xf numFmtId="0" fontId="12" fillId="4" borderId="8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13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3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2" fillId="5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22" xfId="0" applyFont="1" applyBorder="1"/>
    <xf numFmtId="164" fontId="6" fillId="0" borderId="24" xfId="0" applyNumberFormat="1" applyFont="1" applyBorder="1" applyAlignment="1">
      <alignment horizontal="center" vertical="center" wrapText="1"/>
    </xf>
    <xf numFmtId="0" fontId="24" fillId="0" borderId="24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1" fillId="0" borderId="24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6"/>
  <sheetViews>
    <sheetView showGridLines="0" tabSelected="1" topLeftCell="A7" zoomScale="55" zoomScaleNormal="70" workbookViewId="0">
      <selection activeCell="D2" sqref="D2"/>
    </sheetView>
  </sheetViews>
  <sheetFormatPr baseColWidth="10" defaultColWidth="12.59765625" defaultRowHeight="15" customHeight="1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>
      <c r="I1" s="1"/>
      <c r="J1" s="1"/>
      <c r="K1" s="2"/>
      <c r="L1" s="3"/>
    </row>
    <row r="2" spans="2:16" ht="14.4">
      <c r="I2" s="1"/>
      <c r="J2" s="1"/>
      <c r="K2" s="2"/>
      <c r="L2" s="3"/>
    </row>
    <row r="3" spans="2:16" ht="45" customHeight="1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6" ht="14.4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>
      <c r="B6" s="44" t="s">
        <v>15</v>
      </c>
      <c r="C6" s="39" t="s">
        <v>33</v>
      </c>
      <c r="D6" s="39" t="s">
        <v>34</v>
      </c>
      <c r="E6" s="39" t="s">
        <v>35</v>
      </c>
      <c r="F6" s="39" t="s">
        <v>18</v>
      </c>
      <c r="G6" s="39" t="s">
        <v>36</v>
      </c>
      <c r="H6" s="39" t="s">
        <v>37</v>
      </c>
      <c r="I6" s="35">
        <v>6</v>
      </c>
      <c r="J6" s="99" t="s">
        <v>71</v>
      </c>
      <c r="K6" s="35" t="s">
        <v>16</v>
      </c>
      <c r="L6" s="35" t="s">
        <v>17</v>
      </c>
      <c r="M6" s="38" t="s">
        <v>38</v>
      </c>
      <c r="N6" s="39" t="s">
        <v>39</v>
      </c>
      <c r="O6" s="39" t="s">
        <v>40</v>
      </c>
    </row>
    <row r="7" spans="2:16" ht="67.5" customHeight="1">
      <c r="B7" s="44" t="s">
        <v>41</v>
      </c>
      <c r="C7" s="39" t="s">
        <v>63</v>
      </c>
      <c r="D7" s="39" t="s">
        <v>43</v>
      </c>
      <c r="E7" s="39" t="s">
        <v>44</v>
      </c>
      <c r="F7" s="39" t="s">
        <v>18</v>
      </c>
      <c r="G7" s="39" t="s">
        <v>56</v>
      </c>
      <c r="H7" s="39" t="s">
        <v>45</v>
      </c>
      <c r="I7" s="37">
        <v>6</v>
      </c>
      <c r="J7" s="100" t="s">
        <v>71</v>
      </c>
      <c r="K7" s="35" t="s">
        <v>16</v>
      </c>
      <c r="L7" s="39" t="s">
        <v>17</v>
      </c>
      <c r="M7" s="39" t="s">
        <v>46</v>
      </c>
      <c r="N7" s="39" t="s">
        <v>47</v>
      </c>
      <c r="O7" s="39" t="s">
        <v>42</v>
      </c>
    </row>
    <row r="8" spans="2:16" ht="77.25" customHeight="1">
      <c r="B8" s="44" t="s">
        <v>48</v>
      </c>
      <c r="C8" s="39" t="s">
        <v>64</v>
      </c>
      <c r="D8" s="101" t="s">
        <v>49</v>
      </c>
      <c r="E8" s="39" t="s">
        <v>50</v>
      </c>
      <c r="F8" s="39" t="s">
        <v>18</v>
      </c>
      <c r="G8" s="39" t="s">
        <v>51</v>
      </c>
      <c r="H8" s="39" t="s">
        <v>52</v>
      </c>
      <c r="I8" s="35">
        <v>6</v>
      </c>
      <c r="J8" s="100" t="s">
        <v>71</v>
      </c>
      <c r="K8" s="35" t="s">
        <v>16</v>
      </c>
      <c r="L8" s="35" t="s">
        <v>17</v>
      </c>
      <c r="M8" s="38" t="s">
        <v>53</v>
      </c>
      <c r="N8" s="39"/>
      <c r="O8" s="39" t="s">
        <v>54</v>
      </c>
      <c r="P8" s="28"/>
    </row>
    <row r="9" spans="2:16" ht="77.25" customHeight="1">
      <c r="B9" s="44" t="s">
        <v>55</v>
      </c>
      <c r="C9" s="39" t="s">
        <v>72</v>
      </c>
      <c r="D9" s="101" t="s">
        <v>75</v>
      </c>
      <c r="E9" s="39" t="s">
        <v>73</v>
      </c>
      <c r="F9" s="39" t="s">
        <v>58</v>
      </c>
      <c r="G9" s="39" t="s">
        <v>74</v>
      </c>
      <c r="H9" s="39" t="s">
        <v>37</v>
      </c>
      <c r="I9" s="35">
        <v>6</v>
      </c>
      <c r="J9" s="100" t="s">
        <v>71</v>
      </c>
      <c r="K9" s="35" t="s">
        <v>16</v>
      </c>
      <c r="L9" s="35" t="s">
        <v>17</v>
      </c>
      <c r="M9" s="38" t="s">
        <v>76</v>
      </c>
      <c r="N9" s="39"/>
      <c r="O9" s="39" t="s">
        <v>77</v>
      </c>
      <c r="P9" s="28"/>
    </row>
    <row r="10" spans="2:16" ht="77.25" customHeight="1">
      <c r="B10" s="44" t="s">
        <v>57</v>
      </c>
      <c r="C10" s="39" t="s">
        <v>78</v>
      </c>
      <c r="D10" s="101" t="s">
        <v>79</v>
      </c>
      <c r="E10" s="39" t="s">
        <v>80</v>
      </c>
      <c r="F10" s="39" t="s">
        <v>58</v>
      </c>
      <c r="G10" s="39" t="s">
        <v>81</v>
      </c>
      <c r="H10" s="39" t="s">
        <v>45</v>
      </c>
      <c r="I10" s="35">
        <v>6</v>
      </c>
      <c r="J10" s="100" t="s">
        <v>71</v>
      </c>
      <c r="K10" s="35" t="s">
        <v>16</v>
      </c>
      <c r="L10" s="39" t="s">
        <v>17</v>
      </c>
      <c r="M10" s="38" t="s">
        <v>82</v>
      </c>
      <c r="N10" s="39" t="s">
        <v>83</v>
      </c>
      <c r="O10" s="39" t="s">
        <v>84</v>
      </c>
      <c r="P10" s="28"/>
    </row>
    <row r="11" spans="2:16" ht="77.25" customHeight="1">
      <c r="B11" s="44" t="s">
        <v>60</v>
      </c>
      <c r="C11" s="39" t="s">
        <v>85</v>
      </c>
      <c r="D11" s="101" t="s">
        <v>86</v>
      </c>
      <c r="E11" s="39" t="s">
        <v>87</v>
      </c>
      <c r="F11" s="39" t="s">
        <v>58</v>
      </c>
      <c r="G11" s="39" t="s">
        <v>95</v>
      </c>
      <c r="H11" s="39" t="s">
        <v>52</v>
      </c>
      <c r="I11" s="35">
        <v>6</v>
      </c>
      <c r="J11" s="100" t="s">
        <v>71</v>
      </c>
      <c r="K11" s="35" t="s">
        <v>16</v>
      </c>
      <c r="L11" s="35" t="s">
        <v>17</v>
      </c>
      <c r="M11" s="38" t="s">
        <v>88</v>
      </c>
      <c r="N11" s="39"/>
      <c r="O11" s="39" t="s">
        <v>89</v>
      </c>
      <c r="P11" s="28"/>
    </row>
    <row r="12" spans="2:16" ht="78.599999999999994" customHeight="1">
      <c r="B12" s="44" t="s">
        <v>62</v>
      </c>
      <c r="C12" s="39" t="s">
        <v>90</v>
      </c>
      <c r="D12" s="39" t="s">
        <v>91</v>
      </c>
      <c r="E12" s="102" t="s">
        <v>92</v>
      </c>
      <c r="F12" s="39" t="s">
        <v>93</v>
      </c>
      <c r="G12" s="39" t="s">
        <v>94</v>
      </c>
      <c r="H12" s="39" t="s">
        <v>61</v>
      </c>
      <c r="I12" s="37">
        <v>6</v>
      </c>
      <c r="J12" s="100" t="s">
        <v>71</v>
      </c>
      <c r="K12" s="35" t="s">
        <v>16</v>
      </c>
      <c r="L12" s="35" t="s">
        <v>17</v>
      </c>
      <c r="M12" s="39" t="s">
        <v>96</v>
      </c>
      <c r="N12" s="39"/>
      <c r="O12" s="39" t="s">
        <v>97</v>
      </c>
      <c r="P12" s="28"/>
    </row>
    <row r="13" spans="2:16" ht="78.599999999999994" customHeight="1">
      <c r="B13" s="44" t="s">
        <v>98</v>
      </c>
      <c r="C13" s="39" t="s">
        <v>65</v>
      </c>
      <c r="D13" s="39" t="s">
        <v>66</v>
      </c>
      <c r="E13" s="102" t="s">
        <v>67</v>
      </c>
      <c r="F13" s="39" t="s">
        <v>18</v>
      </c>
      <c r="G13" s="39" t="s">
        <v>68</v>
      </c>
      <c r="H13" s="39" t="s">
        <v>61</v>
      </c>
      <c r="I13" s="37">
        <v>6</v>
      </c>
      <c r="J13" s="100" t="s">
        <v>71</v>
      </c>
      <c r="K13" s="35" t="s">
        <v>16</v>
      </c>
      <c r="L13" s="35" t="s">
        <v>17</v>
      </c>
      <c r="M13" s="39" t="s">
        <v>69</v>
      </c>
      <c r="N13" s="39"/>
      <c r="O13" s="39" t="s">
        <v>70</v>
      </c>
      <c r="P13" s="28"/>
    </row>
    <row r="14" spans="2:16" ht="71.25" customHeight="1">
      <c r="B14" s="44" t="s">
        <v>99</v>
      </c>
      <c r="C14" s="39" t="s">
        <v>100</v>
      </c>
      <c r="D14" s="39" t="s">
        <v>101</v>
      </c>
      <c r="E14" s="102" t="s">
        <v>102</v>
      </c>
      <c r="F14" s="39" t="s">
        <v>103</v>
      </c>
      <c r="G14" s="102" t="s">
        <v>104</v>
      </c>
      <c r="H14" s="39" t="s">
        <v>52</v>
      </c>
      <c r="I14" s="35">
        <v>6</v>
      </c>
      <c r="J14" s="100" t="s">
        <v>71</v>
      </c>
      <c r="K14" s="35" t="s">
        <v>16</v>
      </c>
      <c r="L14" s="35" t="s">
        <v>17</v>
      </c>
      <c r="M14" s="39" t="s">
        <v>105</v>
      </c>
      <c r="N14" s="39"/>
      <c r="O14" s="44" t="s">
        <v>59</v>
      </c>
    </row>
    <row r="15" spans="2:16" ht="114" customHeight="1">
      <c r="E15" s="41"/>
    </row>
    <row r="16" spans="2:16" ht="13.8">
      <c r="B16" s="40"/>
      <c r="C16" s="41"/>
      <c r="D16" s="41"/>
      <c r="E16" s="30"/>
      <c r="F16" s="41"/>
      <c r="G16" s="41"/>
      <c r="H16" s="41"/>
      <c r="I16" s="41"/>
      <c r="J16" s="42"/>
      <c r="K16" s="41"/>
      <c r="L16" s="41"/>
      <c r="M16" s="43"/>
      <c r="N16" s="43"/>
      <c r="O16" s="41"/>
    </row>
    <row r="17" spans="2:15" ht="39.75" customHeight="1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3"/>
      <c r="M17" s="34"/>
      <c r="N17" s="32"/>
      <c r="O17" s="30"/>
    </row>
    <row r="18" spans="2:15" ht="39.75" customHeight="1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2"/>
      <c r="N18" s="32"/>
      <c r="O18" s="32"/>
    </row>
    <row r="19" spans="2:15" ht="39.75" customHeight="1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19.5" customHeight="1">
      <c r="B25" s="29"/>
      <c r="C25" s="30"/>
      <c r="D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>
      <c r="I26" s="3"/>
      <c r="J26" s="3"/>
      <c r="K26" s="6"/>
      <c r="L26" s="3"/>
    </row>
    <row r="27" spans="2:15" ht="19.5" customHeight="1">
      <c r="I27" s="1"/>
      <c r="J27" s="1"/>
      <c r="K27" s="2"/>
      <c r="L27" s="3"/>
    </row>
    <row r="28" spans="2:15" ht="19.5" customHeight="1">
      <c r="I28" s="1"/>
      <c r="J28" s="1"/>
      <c r="K28" s="2"/>
      <c r="L28" s="3"/>
    </row>
    <row r="29" spans="2:15" ht="19.5" customHeight="1">
      <c r="I29" s="1"/>
      <c r="J29" s="1"/>
      <c r="K29" s="2"/>
      <c r="L29" s="3"/>
    </row>
    <row r="30" spans="2:15" ht="19.5" customHeight="1">
      <c r="I30" s="1"/>
      <c r="J30" s="1"/>
      <c r="K30" s="7"/>
      <c r="L30" s="3"/>
    </row>
    <row r="31" spans="2:15" ht="19.5" customHeight="1">
      <c r="I31" s="1"/>
      <c r="J31" s="1"/>
      <c r="K31" s="7"/>
      <c r="L31" s="3"/>
    </row>
    <row r="32" spans="2:15" ht="19.5" customHeight="1">
      <c r="I32" s="1"/>
      <c r="J32" s="1"/>
      <c r="K32" s="2"/>
      <c r="L32" s="3"/>
    </row>
    <row r="33" spans="9:13" ht="19.5" customHeight="1">
      <c r="I33" s="1"/>
      <c r="J33" s="1"/>
      <c r="K33" s="2"/>
      <c r="L33" s="3"/>
    </row>
    <row r="34" spans="9:13" ht="19.5" customHeight="1">
      <c r="I34" s="1"/>
      <c r="J34" s="1"/>
      <c r="K34" s="2"/>
      <c r="L34" s="3"/>
    </row>
    <row r="35" spans="9:13" ht="19.5" customHeight="1">
      <c r="I35" s="1"/>
      <c r="J35" s="1"/>
      <c r="K35" s="2" t="s">
        <v>16</v>
      </c>
      <c r="L35" s="1" t="s">
        <v>17</v>
      </c>
      <c r="M35" s="4"/>
    </row>
    <row r="36" spans="9:13" ht="19.5" customHeight="1">
      <c r="I36" s="1"/>
      <c r="J36" s="1"/>
      <c r="K36" s="2" t="s">
        <v>19</v>
      </c>
      <c r="L36" s="1" t="s">
        <v>20</v>
      </c>
      <c r="M36" s="4"/>
    </row>
    <row r="37" spans="9:13" ht="19.5" customHeight="1">
      <c r="I37" s="1"/>
      <c r="J37" s="1"/>
      <c r="K37" s="2" t="s">
        <v>21</v>
      </c>
      <c r="L37" s="1" t="s">
        <v>22</v>
      </c>
      <c r="M37" s="4"/>
    </row>
    <row r="38" spans="9:13" ht="19.5" customHeight="1">
      <c r="I38" s="1"/>
      <c r="J38" s="1"/>
      <c r="K38" s="2"/>
      <c r="L38" s="1" t="s">
        <v>23</v>
      </c>
      <c r="M38" s="4"/>
    </row>
    <row r="39" spans="9:13" ht="19.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.75" customHeight="1">
      <c r="I1001" s="1"/>
      <c r="J1001" s="1"/>
      <c r="K1001" s="2"/>
      <c r="L1001" s="3"/>
    </row>
    <row r="1002" spans="9:12" ht="15.75" customHeight="1">
      <c r="I1002" s="1"/>
      <c r="J1002" s="1"/>
      <c r="K1002" s="2"/>
      <c r="L1002" s="3"/>
    </row>
    <row r="1003" spans="9:12" ht="15.75" customHeight="1">
      <c r="I1003" s="1"/>
      <c r="J1003" s="1"/>
      <c r="K1003" s="2"/>
      <c r="L1003" s="3"/>
    </row>
    <row r="1004" spans="9:12" ht="15.75" customHeight="1">
      <c r="I1004" s="1"/>
      <c r="J1004" s="1"/>
      <c r="K1004" s="2"/>
      <c r="L1004" s="3"/>
    </row>
    <row r="1005" spans="9:12" ht="15.75" customHeight="1">
      <c r="I1005" s="3"/>
      <c r="J1005" s="3"/>
      <c r="K1005" s="6"/>
      <c r="L1005" s="3"/>
    </row>
    <row r="1006" spans="9:12" ht="15" customHeight="1">
      <c r="I1006" s="3"/>
      <c r="J1006" s="3"/>
      <c r="K1006" s="6"/>
      <c r="L1006" s="3"/>
    </row>
  </sheetData>
  <mergeCells count="1">
    <mergeCell ref="B3:O3"/>
  </mergeCells>
  <dataValidations count="2">
    <dataValidation type="list" allowBlank="1" showErrorMessage="1" sqref="L16:L25 L6:L14" xr:uid="{00000000-0002-0000-0000-000000000000}">
      <formula1>$L$35:$L$38</formula1>
    </dataValidation>
    <dataValidation type="list" allowBlank="1" showErrorMessage="1" sqref="K16:K25 K6:K14" xr:uid="{00000000-0002-0000-0000-000001000000}">
      <formula1>$K$35:$K$37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/>
    <row r="3" spans="2:16" ht="15" hidden="1" customHeight="1"/>
    <row r="4" spans="2:16" ht="14.4" hidden="1">
      <c r="C4" s="8"/>
      <c r="D4" s="8"/>
      <c r="E4" s="8"/>
      <c r="F4" s="4"/>
    </row>
    <row r="5" spans="2:16" ht="14.4" hidden="1">
      <c r="C5" s="8"/>
      <c r="D5" s="8"/>
      <c r="E5" s="8"/>
      <c r="F5" s="4"/>
    </row>
    <row r="6" spans="2:16" ht="39.75" customHeight="1">
      <c r="B6" s="85" t="s">
        <v>24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66"/>
    </row>
    <row r="7" spans="2:16" ht="9.75" customHeight="1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>
      <c r="B9" s="26"/>
      <c r="C9" s="10" t="s">
        <v>1</v>
      </c>
      <c r="D9" s="11"/>
      <c r="E9" s="65" t="s">
        <v>25</v>
      </c>
      <c r="F9" s="66"/>
      <c r="G9" s="11"/>
      <c r="H9" s="65" t="s">
        <v>11</v>
      </c>
      <c r="I9" s="66"/>
      <c r="J9" s="12"/>
      <c r="K9" s="12"/>
      <c r="L9" s="12"/>
      <c r="M9" s="12"/>
      <c r="N9" s="12"/>
      <c r="O9" s="12"/>
      <c r="P9" s="27"/>
    </row>
    <row r="10" spans="2:16" ht="30" customHeight="1">
      <c r="B10" s="26"/>
      <c r="C10" s="13" t="s">
        <v>99</v>
      </c>
      <c r="D10" s="14"/>
      <c r="E10" s="87" t="str">
        <f>VLOOKUP(C10,'Formato descripción HU'!B6:O25,5,0)</f>
        <v xml:space="preserve">Adminstrador del conjunto </v>
      </c>
      <c r="F10" s="88"/>
      <c r="G10" s="15"/>
      <c r="H10" s="67" t="str">
        <f>VLOOKUP(C10,'Formato descripción HU'!B6:O25,11,0)</f>
        <v>No iniciado</v>
      </c>
      <c r="I10" s="66"/>
      <c r="J10" s="15"/>
      <c r="K10" s="12"/>
      <c r="L10" s="12"/>
      <c r="M10" s="12"/>
      <c r="N10" s="12"/>
      <c r="O10" s="12"/>
      <c r="P10" s="27"/>
    </row>
    <row r="11" spans="2:16" ht="9.75" customHeight="1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>
      <c r="B12" s="26"/>
      <c r="C12" s="10" t="s">
        <v>26</v>
      </c>
      <c r="D12" s="14"/>
      <c r="E12" s="65" t="s">
        <v>10</v>
      </c>
      <c r="F12" s="66"/>
      <c r="G12" s="15"/>
      <c r="H12" s="65" t="s">
        <v>27</v>
      </c>
      <c r="I12" s="66"/>
      <c r="J12" s="15"/>
      <c r="K12" s="17"/>
      <c r="L12" s="17"/>
      <c r="M12" s="12"/>
      <c r="N12" s="17"/>
      <c r="O12" s="17"/>
      <c r="P12" s="27"/>
    </row>
    <row r="13" spans="2:16" ht="30" customHeight="1">
      <c r="B13" s="26"/>
      <c r="C13" s="13">
        <f>VLOOKUP('Historia de Usuario'!C10,'Formato descripción HU'!B6:O25,8,0)</f>
        <v>6</v>
      </c>
      <c r="D13" s="14"/>
      <c r="E13" s="67" t="str">
        <f>VLOOKUP(C10,'Formato descripción HU'!B6:O25,10,0)</f>
        <v>Alta</v>
      </c>
      <c r="F13" s="66"/>
      <c r="G13" s="15"/>
      <c r="H13" s="67" t="str">
        <f>VLOOKUP(C10,'Formato descripción HU'!B6:O25,7,0)</f>
        <v>Paul Villacis</v>
      </c>
      <c r="I13" s="66"/>
      <c r="J13" s="15"/>
      <c r="K13" s="17"/>
      <c r="L13" s="17"/>
      <c r="M13" s="12"/>
      <c r="N13" s="17"/>
      <c r="O13" s="17"/>
      <c r="P13" s="27"/>
    </row>
    <row r="14" spans="2:16" ht="9.75" customHeight="1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>
      <c r="B15" s="26"/>
      <c r="C15" s="68" t="s">
        <v>28</v>
      </c>
      <c r="D15" s="76" t="str">
        <f>VLOOKUP(C10,'Formato descripción HU'!B6:O25,3,0)</f>
        <v>Consultar residentes que adeudan pagos</v>
      </c>
      <c r="E15" s="70"/>
      <c r="F15" s="12"/>
      <c r="G15" s="68" t="s">
        <v>29</v>
      </c>
      <c r="H15" s="76" t="str">
        <f>VLOOKUP(C10,'Formato descripción HU'!B6:O25,4,0)</f>
        <v>Facilitar la gestión de cobro y seguimiento</v>
      </c>
      <c r="I15" s="97"/>
      <c r="J15" s="70"/>
      <c r="K15" s="12"/>
      <c r="L15" s="47" t="s">
        <v>30</v>
      </c>
      <c r="M15" s="50" t="str">
        <f>VLOOKUP(C10,'Formato descripción HU'!B6:O25,6,0)</f>
        <v>Acceder a un módulo de búsqueda con filtros para mostrar residentes con saldos pendientes.</v>
      </c>
      <c r="N15" s="51"/>
      <c r="O15" s="52"/>
      <c r="P15" s="27"/>
    </row>
    <row r="16" spans="2:16" ht="19.5" customHeight="1">
      <c r="B16" s="26"/>
      <c r="C16" s="48"/>
      <c r="D16" s="74"/>
      <c r="E16" s="75"/>
      <c r="F16" s="12"/>
      <c r="G16" s="48"/>
      <c r="H16" s="74"/>
      <c r="I16" s="46"/>
      <c r="J16" s="75"/>
      <c r="K16" s="12"/>
      <c r="L16" s="48"/>
      <c r="M16" s="53"/>
      <c r="N16" s="54"/>
      <c r="O16" s="55"/>
      <c r="P16" s="27"/>
    </row>
    <row r="17" spans="2:16" ht="19.5" customHeight="1">
      <c r="B17" s="26"/>
      <c r="C17" s="49"/>
      <c r="D17" s="71"/>
      <c r="E17" s="72"/>
      <c r="F17" s="12"/>
      <c r="G17" s="49"/>
      <c r="H17" s="71"/>
      <c r="I17" s="98"/>
      <c r="J17" s="72"/>
      <c r="K17" s="12"/>
      <c r="L17" s="49"/>
      <c r="M17" s="56"/>
      <c r="N17" s="57"/>
      <c r="O17" s="58"/>
      <c r="P17" s="27"/>
    </row>
    <row r="18" spans="2:16" ht="9.75" customHeight="1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>
      <c r="B19" s="26"/>
      <c r="C19" s="69" t="s">
        <v>31</v>
      </c>
      <c r="D19" s="70"/>
      <c r="E19" s="59" t="str">
        <f>VLOOKUP(C10,'Formato descripción HU'!B6:O24,14,0)</f>
        <v>Control de pagos</v>
      </c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27"/>
    </row>
    <row r="20" spans="2:16" ht="19.5" customHeight="1">
      <c r="B20" s="26"/>
      <c r="C20" s="71"/>
      <c r="D20" s="72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27"/>
    </row>
    <row r="21" spans="2:16" ht="9.75" customHeight="1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>
      <c r="B22" s="26"/>
      <c r="C22" s="73" t="s">
        <v>32</v>
      </c>
      <c r="D22" s="70"/>
      <c r="E22" s="76" t="str">
        <f>VLOOKUP(C10,'Formato descripción HU'!B6:O25,12,0)</f>
        <v>El sistema debe mostrar únicamente los registros que coinciden con el estado "pendiente".</v>
      </c>
      <c r="F22" s="77"/>
      <c r="G22" s="77"/>
      <c r="H22" s="78"/>
      <c r="I22" s="12"/>
      <c r="J22" s="73" t="s">
        <v>13</v>
      </c>
      <c r="K22" s="70"/>
      <c r="L22" s="76">
        <f>VLOOKUP(C10,'Formato descripción HU'!B6:O25,13,0)</f>
        <v>0</v>
      </c>
      <c r="M22" s="89"/>
      <c r="N22" s="89"/>
      <c r="O22" s="90"/>
      <c r="P22" s="27"/>
    </row>
    <row r="23" spans="2:16" ht="19.5" customHeight="1">
      <c r="B23" s="26"/>
      <c r="C23" s="74"/>
      <c r="D23" s="75"/>
      <c r="E23" s="79"/>
      <c r="F23" s="80"/>
      <c r="G23" s="80"/>
      <c r="H23" s="81"/>
      <c r="I23" s="12"/>
      <c r="J23" s="74"/>
      <c r="K23" s="75"/>
      <c r="L23" s="91"/>
      <c r="M23" s="92"/>
      <c r="N23" s="92"/>
      <c r="O23" s="93"/>
      <c r="P23" s="27"/>
    </row>
    <row r="24" spans="2:16" ht="19.5" customHeight="1">
      <c r="B24" s="26"/>
      <c r="C24" s="71"/>
      <c r="D24" s="72"/>
      <c r="E24" s="82"/>
      <c r="F24" s="83"/>
      <c r="G24" s="83"/>
      <c r="H24" s="84"/>
      <c r="I24" s="12"/>
      <c r="J24" s="71"/>
      <c r="K24" s="72"/>
      <c r="L24" s="94"/>
      <c r="M24" s="95"/>
      <c r="N24" s="95"/>
      <c r="O24" s="96"/>
      <c r="P24" s="27"/>
    </row>
    <row r="25" spans="2:16" ht="9.75" customHeight="1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Melanie Zuñiga</cp:lastModifiedBy>
  <cp:revision/>
  <cp:lastPrinted>2022-11-25T05:25:55Z</cp:lastPrinted>
  <dcterms:created xsi:type="dcterms:W3CDTF">2019-10-21T15:37:14Z</dcterms:created>
  <dcterms:modified xsi:type="dcterms:W3CDTF">2026-05-12T23:25:56Z</dcterms:modified>
  <cp:category/>
  <cp:contentStatus/>
</cp:coreProperties>
</file>