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391BE35A-6372-40BC-9FD2-AC36F92475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<sst xmlns="http://schemas.openxmlformats.org/spreadsheetml/2006/main" count="156" uniqueCount="114">
  <si>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</si>
  <si>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</si>
  <si>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</si>
  <si>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</si>
  <si>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</si>
  <si>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</si>
  <si>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</si>
  <si>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</si>
  <si>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</si>
  <si>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</si>
  <si>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</si>
  <si>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</si>
  <si>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</si>
  <si>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</si>
  <si>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</si>
  <si>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</si>
  <si>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</si>
  <si>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</si>
  <si>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</si>
  <si>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</si>
  <si>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</si>
  <si>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</si>
  <si>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</si>
  <si>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</si>
  <si>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</si>
  <si>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</si>
  <si>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</si>
  <si>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</si>
  <si>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</si>
  <si>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</si>
  <si>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</si>
  <si>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</si>
  <si>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</si>
  <si>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</si>
  <si>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</si>
  <si>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</si>
  <si>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Acceso al sistema</t>
  </si>
  <si>
    <t>REQ002</t>
  </si>
  <si>
    <t>Registro de residentes</t>
  </si>
  <si>
    <t>Almacenar los residentes del conjunto en el sistema</t>
  </si>
  <si>
    <t>Melanie Zuñiga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</si>
  <si>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</si>
  <si>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</si>
  <si>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</si>
  <si>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</si>
  <si>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</si>
  <si>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</si>
  <si>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</si>
  <si>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</si>
  <si>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</si>
  <si>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</si>
  <si>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Control de pagos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</si>
  <si>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</si>
  <si>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</si>
  <si>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</si>
  <si>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</si>
  <si>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</si>
  <si>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</si>
  <si>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</si>
  <si>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</si>
  <si>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El pago debe quedar asociado al perfil del residente y reflejarse en su historial.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</si>
  <si>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</si>
  <si>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</si>
  <si>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</si>
  <si>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</si>
  <si>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</si>
  <si>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</si>
  <si>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</si>
  <si>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La multa debe aparecer como saldo pendiente en el perfil del residente hasta ser pagada.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</si>
  <si>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</si>
  <si>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</si>
  <si>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</si>
  <si>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</si>
  <si>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</si>
  <si>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Informe de Residentes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</si>
  <si>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</si>
  <si>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</si>
  <si>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</si>
  <si>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</si>
  <si>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</si>
  <si>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El sistema debe mostrar únicamente los registros que coinciden con el estado "pendiente".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</si>
  <si>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</si>
  <si>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desarrollará un módulo de registro de alícuotas en NetBeans, donde el administrador podrá seleccionar un residente, ingresar el monto y período correspondiente, y almacenar la información en la base de datos para llevar el control de pagos.</t>
  </si>
  <si>
    <t>Se implementará un módulo de gestión de arriendos en Java, permitiendo registrar locales, parqueaderos o espacios comunales arrendados, asociarlos a un residente y registrar los valores de pago correspondientes</t>
  </si>
  <si>
    <t>Se implementará un módulo de generación de informes en Java, capaz de consultar la base de datos y generar reportes detallados de pagos, multas, alícuotas y arriendos, con filtros por residente, fecha o tipo de transacción.</t>
  </si>
  <si>
    <t>Se desarrollarán interfaces en NetBeans para la actualización de información, permitiendo modificar datos de residentes y registros financieros. El sistema validará los cambios antes de guardarlos en la base de datos.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</si>
  <si>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</si>
  <si>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</si>
  <si>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</si>
  <si>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</si>
  <si>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</si>
  <si>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</si>
  <si>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</si>
  <si>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</si>
  <si>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Asignar cobros por multas específicass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</si>
  <si>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</si>
  <si>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</si>
  <si>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</si>
  <si>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</si>
  <si>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 xml:space="preserve">Actualizar datos de residentes o pagos registrados </t>
  </si>
  <si>
    <t>Se implementará un módulo de control de deudores en Java, que consultará automáticamente los registros de pagos pendientes y mostrará listados filtrados de residentes con obligaciones vencidas o pendientes de cancelación.</t>
  </si>
  <si>
    <t>Se desarrollará un formulario en NetBeans para registrar multas, permitiendo seleccionar al residente, indicar el motivo de la sanción (asamblea, mascota o minga) y registrar el valor correspondiente para su posterior seguimiento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</si>
  <si>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</si>
  <si>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</si>
  <si>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</si>
  <si>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</si>
  <si>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Menú principal</t>
  </si>
  <si>
    <t>REQ010</t>
  </si>
  <si>
    <t>Acceder a los módulos del sistema de forma organizada después de iniciar sesión</t>
  </si>
  <si>
    <t>Se desarrollará en NetBeans utilizando Java, implementando una interfaz principal que muestre un menú organizado con los diferentes módulos del sistema. El administrador podrá acceder a cada módulo mediante opciones claramente definidas.</t>
  </si>
  <si>
    <t>Después de 3 intentos fallidos, se bloqueará el acceso al sistema por 25 segundos</t>
  </si>
  <si>
    <t>Se desarrollará un formulario en NetBeans para a los propietarios, permitiendo ingresar datos como nombres, número de vivienda, cédula, teléfono, dirección, información acerca de las personas que viven con el y si tiene mascotas o no. La información será validada antes de almacenarse en la base de datos para garantizar la integridad de los registros.</t>
  </si>
  <si>
    <t>El registro solo podrá completarse cuando todos los campos obligatorios estén llenos y validados correctamente</t>
  </si>
  <si>
    <t>Se implementará en Java mediante NetBeans un módulo de búsqueda con filtros por nombre, cédula o número de vivienda. Los resultados se mostrarán en una ventana emergente con todos los datos del 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</si>
</sst>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1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12" fillId="0" borderId="5" xfId="0" applyFont="1" applyBorder="1"/>
    <xf numFmtId="0" fontId="13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  <xf numFmtId="0" fontId="23" fillId="6" borderId="7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topLeftCell="A12" zoomScale="80" zoomScaleNormal="80" workbookViewId="0">
      <selection activeCell="J10" sqref="J10"/>
    </sheetView>
  </sheetViews>
  <sheetFormatPr baseColWidth="10" defaultColWidth="12.59765625" defaultRowHeight="15" customHeight="1" x14ac:dyDescent="0.25"/>
  <cols>
    <col min="1" max="1" width="2" customWidth="1"/>
    <col min="2" max="2" width="8" bestFit="1" customWidth="1"/>
    <col min="3" max="5" width="20.59765625" customWidth="1"/>
    <col min="6" max="6" width="15" customWidth="1"/>
    <col min="7" max="7" width="28.5" customWidth="1"/>
    <col min="8" max="12" width="10.59765625" customWidth="1"/>
    <col min="13" max="15" width="20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9" t="s">
        <v>0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5" customHeight="1" x14ac:dyDescent="0.25">
      <c r="B6" s="44" t="s">
        <v>15</v>
      </c>
      <c r="C6" s="39" t="s">
        <v>89</v>
      </c>
      <c r="D6" s="39" t="s">
        <v>88</v>
      </c>
      <c r="E6" s="39" t="s">
        <v>33</v>
      </c>
      <c r="F6" s="39" t="s">
        <v>18</v>
      </c>
      <c r="G6" s="39" t="s">
        <v>81</v>
      </c>
      <c r="H6" s="39" t="s">
        <v>34</v>
      </c>
      <c r="I6" s="35">
        <v>6</v>
      </c>
      <c r="J6" s="45">
        <v>46174</v>
      </c>
      <c r="K6" s="35" t="s">
        <v>16</v>
      </c>
      <c r="L6" s="35" t="s">
        <v>22</v>
      </c>
      <c r="M6" s="38" t="s">
        <v>35</v>
      </c>
      <c r="N6" s="39" t="s">
        <v>110</v>
      </c>
      <c r="O6" s="39" t="s">
        <v>36</v>
      </c>
    </row>
    <row r="7" spans="2:16" ht="202.95" customHeight="1" x14ac:dyDescent="0.25">
      <c r="B7" s="44" t="s">
        <v>37</v>
      </c>
      <c r="C7" s="39" t="s">
        <v>108</v>
      </c>
      <c r="D7" s="39" t="s">
        <v>102</v>
      </c>
      <c r="E7" s="39" t="s">
        <v>103</v>
      </c>
      <c r="F7" s="39" t="s">
        <v>50</v>
      </c>
      <c r="G7" s="39" t="s">
        <v>109</v>
      </c>
      <c r="H7" s="39" t="s">
        <v>53</v>
      </c>
      <c r="I7" s="39">
        <v>4</v>
      </c>
      <c r="J7" s="45">
        <v>46174</v>
      </c>
      <c r="K7" s="39" t="s">
        <v>16</v>
      </c>
      <c r="L7" s="39" t="s">
        <v>22</v>
      </c>
      <c r="M7" s="38" t="s">
        <v>104</v>
      </c>
      <c r="N7" s="39" t="s">
        <v>105</v>
      </c>
      <c r="O7" s="39" t="s">
        <v>106</v>
      </c>
    </row>
    <row r="8" spans="2:16" ht="171" customHeight="1" x14ac:dyDescent="0.25">
      <c r="B8" s="44" t="s">
        <v>42</v>
      </c>
      <c r="C8" s="39" t="s">
        <v>90</v>
      </c>
      <c r="D8" s="39" t="s">
        <v>86</v>
      </c>
      <c r="E8" s="39" t="s">
        <v>39</v>
      </c>
      <c r="F8" s="39" t="s">
        <v>18</v>
      </c>
      <c r="G8" s="39" t="s">
        <v>111</v>
      </c>
      <c r="H8" s="39" t="s">
        <v>40</v>
      </c>
      <c r="I8" s="37">
        <v>6</v>
      </c>
      <c r="J8" s="45">
        <v>46174</v>
      </c>
      <c r="K8" s="35" t="s">
        <v>16</v>
      </c>
      <c r="L8" s="39" t="s">
        <v>22</v>
      </c>
      <c r="M8" s="39" t="s">
        <v>112</v>
      </c>
      <c r="N8" s="39" t="s">
        <v>41</v>
      </c>
      <c r="O8" s="39" t="s">
        <v>38</v>
      </c>
    </row>
    <row r="9" spans="2:16" ht="143.4" customHeight="1" x14ac:dyDescent="0.3">
      <c r="B9" s="44" t="s">
        <v>48</v>
      </c>
      <c r="C9" s="39" t="s">
        <v>43</v>
      </c>
      <c r="D9" s="46" t="s">
        <v>91</v>
      </c>
      <c r="E9" s="39" t="s">
        <v>44</v>
      </c>
      <c r="F9" s="39" t="s">
        <v>18</v>
      </c>
      <c r="G9" s="39" t="s">
        <v>113</v>
      </c>
      <c r="H9" s="39" t="s">
        <v>45</v>
      </c>
      <c r="I9" s="35">
        <v>6</v>
      </c>
      <c r="J9" s="45">
        <v>46174</v>
      </c>
      <c r="K9" s="35" t="s">
        <v>16</v>
      </c>
      <c r="L9" s="35" t="s">
        <v>22</v>
      </c>
      <c r="M9" s="38" t="s">
        <v>46</v>
      </c>
      <c r="N9" s="39"/>
      <c r="O9" s="39" t="s">
        <v>47</v>
      </c>
      <c r="P9" s="28"/>
    </row>
    <row r="10" spans="2:16" ht="130.19999999999999" customHeight="1" x14ac:dyDescent="0.3">
      <c r="B10" s="44" t="s">
        <v>49</v>
      </c>
      <c r="C10" s="39" t="s">
        <v>98</v>
      </c>
      <c r="D10" s="46" t="s">
        <v>92</v>
      </c>
      <c r="E10" s="39" t="s">
        <v>59</v>
      </c>
      <c r="F10" s="39" t="s">
        <v>50</v>
      </c>
      <c r="G10" s="39" t="s">
        <v>82</v>
      </c>
      <c r="H10" s="39" t="s">
        <v>34</v>
      </c>
      <c r="I10" s="35">
        <v>6</v>
      </c>
      <c r="J10" s="45" t="s">
        <v>58</v>
      </c>
      <c r="K10" s="35" t="s">
        <v>16</v>
      </c>
      <c r="L10" s="35" t="s">
        <v>20</v>
      </c>
      <c r="M10" s="38" t="s">
        <v>60</v>
      </c>
      <c r="N10" s="39"/>
      <c r="O10" s="39" t="s">
        <v>61</v>
      </c>
      <c r="P10" s="28"/>
    </row>
    <row r="11" spans="2:16" ht="129" customHeight="1" x14ac:dyDescent="0.3">
      <c r="B11" s="44" t="s">
        <v>52</v>
      </c>
      <c r="C11" s="39" t="s">
        <v>62</v>
      </c>
      <c r="D11" s="46" t="s">
        <v>93</v>
      </c>
      <c r="E11" s="39" t="s">
        <v>63</v>
      </c>
      <c r="F11" s="39" t="s">
        <v>50</v>
      </c>
      <c r="G11" s="39" t="s">
        <v>83</v>
      </c>
      <c r="H11" s="39" t="s">
        <v>40</v>
      </c>
      <c r="I11" s="35">
        <v>6</v>
      </c>
      <c r="J11" s="45" t="s">
        <v>58</v>
      </c>
      <c r="K11" s="35" t="s">
        <v>16</v>
      </c>
      <c r="L11" s="39" t="s">
        <v>20</v>
      </c>
      <c r="M11" s="38" t="s">
        <v>64</v>
      </c>
      <c r="N11" s="39" t="s">
        <v>65</v>
      </c>
      <c r="O11" s="39" t="s">
        <v>66</v>
      </c>
      <c r="P11" s="28"/>
    </row>
    <row r="12" spans="2:16" ht="144.6" customHeight="1" x14ac:dyDescent="0.3">
      <c r="B12" s="44" t="s">
        <v>54</v>
      </c>
      <c r="C12" s="39" t="s">
        <v>94</v>
      </c>
      <c r="D12" s="46" t="s">
        <v>87</v>
      </c>
      <c r="E12" s="39" t="s">
        <v>67</v>
      </c>
      <c r="F12" s="39" t="s">
        <v>50</v>
      </c>
      <c r="G12" s="39" t="s">
        <v>101</v>
      </c>
      <c r="H12" s="39" t="s">
        <v>45</v>
      </c>
      <c r="I12" s="35">
        <v>6</v>
      </c>
      <c r="J12" s="45" t="s">
        <v>58</v>
      </c>
      <c r="K12" s="35" t="s">
        <v>16</v>
      </c>
      <c r="L12" s="35" t="s">
        <v>20</v>
      </c>
      <c r="M12" s="38" t="s">
        <v>68</v>
      </c>
      <c r="N12" s="39"/>
      <c r="O12" s="39" t="s">
        <v>69</v>
      </c>
      <c r="P12" s="28"/>
    </row>
    <row r="13" spans="2:16" ht="121.2" customHeight="1" x14ac:dyDescent="0.25">
      <c r="B13" s="44" t="s">
        <v>75</v>
      </c>
      <c r="C13" s="39" t="s">
        <v>70</v>
      </c>
      <c r="D13" s="39" t="s">
        <v>95</v>
      </c>
      <c r="E13" s="47" t="s">
        <v>71</v>
      </c>
      <c r="F13" s="39" t="s">
        <v>72</v>
      </c>
      <c r="G13" s="39" t="s">
        <v>84</v>
      </c>
      <c r="H13" s="39" t="s">
        <v>53</v>
      </c>
      <c r="I13" s="37">
        <v>6</v>
      </c>
      <c r="J13" s="45" t="s">
        <v>58</v>
      </c>
      <c r="K13" s="35" t="s">
        <v>19</v>
      </c>
      <c r="L13" s="35" t="s">
        <v>20</v>
      </c>
      <c r="M13" s="39" t="s">
        <v>73</v>
      </c>
      <c r="N13" s="39"/>
      <c r="O13" s="39" t="s">
        <v>74</v>
      </c>
      <c r="P13" s="28"/>
    </row>
    <row r="14" spans="2:16" ht="125.4" customHeight="1" x14ac:dyDescent="0.25">
      <c r="B14" s="44" t="s">
        <v>76</v>
      </c>
      <c r="C14" s="39" t="s">
        <v>99</v>
      </c>
      <c r="D14" s="39" t="s">
        <v>96</v>
      </c>
      <c r="E14" s="47" t="s">
        <v>55</v>
      </c>
      <c r="F14" s="39" t="s">
        <v>18</v>
      </c>
      <c r="G14" s="39" t="s">
        <v>85</v>
      </c>
      <c r="H14" s="39" t="s">
        <v>53</v>
      </c>
      <c r="I14" s="37">
        <v>6</v>
      </c>
      <c r="J14" s="45" t="s">
        <v>58</v>
      </c>
      <c r="K14" s="35" t="s">
        <v>19</v>
      </c>
      <c r="L14" s="35" t="s">
        <v>20</v>
      </c>
      <c r="M14" s="39" t="s">
        <v>56</v>
      </c>
      <c r="N14" s="39"/>
      <c r="O14" s="39" t="s">
        <v>57</v>
      </c>
      <c r="P14" s="28"/>
    </row>
    <row r="15" spans="2:16" ht="139.94999999999999" customHeight="1" x14ac:dyDescent="0.25">
      <c r="B15" s="44" t="s">
        <v>107</v>
      </c>
      <c r="C15" s="39" t="s">
        <v>77</v>
      </c>
      <c r="D15" s="39" t="s">
        <v>97</v>
      </c>
      <c r="E15" s="47" t="s">
        <v>78</v>
      </c>
      <c r="F15" s="39" t="s">
        <v>79</v>
      </c>
      <c r="G15" s="48" t="s">
        <v>100</v>
      </c>
      <c r="H15" s="39" t="s">
        <v>45</v>
      </c>
      <c r="I15" s="35">
        <v>6</v>
      </c>
      <c r="J15" s="45" t="s">
        <v>58</v>
      </c>
      <c r="K15" s="35" t="s">
        <v>19</v>
      </c>
      <c r="L15" s="35" t="s">
        <v>20</v>
      </c>
      <c r="M15" s="39" t="s">
        <v>80</v>
      </c>
      <c r="N15" s="39"/>
      <c r="O15" s="44" t="s">
        <v>51</v>
      </c>
    </row>
    <row r="16" spans="2:16" ht="114" customHeight="1" x14ac:dyDescent="0.25">
      <c r="E16" s="41"/>
    </row>
    <row r="17" spans="2:15" ht="13.8" x14ac:dyDescent="0.25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5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5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5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5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5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5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5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5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5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5">
      <c r="I27" s="3"/>
      <c r="J27" s="3"/>
      <c r="K27" s="6"/>
      <c r="L27" s="3"/>
    </row>
    <row r="28" spans="2:15" ht="19.5" customHeight="1" x14ac:dyDescent="0.3">
      <c r="I28" s="1"/>
      <c r="J28" s="1"/>
      <c r="K28" s="2"/>
      <c r="L28" s="3"/>
    </row>
    <row r="29" spans="2:15" ht="19.5" customHeight="1" x14ac:dyDescent="0.3">
      <c r="I29" s="1"/>
      <c r="J29" s="1"/>
      <c r="K29" s="2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25">
      <c r="I31" s="1"/>
      <c r="J31" s="1"/>
      <c r="K31" s="7"/>
      <c r="L31" s="3"/>
    </row>
    <row r="32" spans="2:15" ht="19.5" customHeight="1" x14ac:dyDescent="0.25">
      <c r="I32" s="1"/>
      <c r="J32" s="1"/>
      <c r="K32" s="7"/>
      <c r="L32" s="3"/>
    </row>
    <row r="33" spans="9:13" ht="19.5" customHeight="1" x14ac:dyDescent="0.3">
      <c r="I33" s="1"/>
      <c r="J33" s="1"/>
      <c r="K33" s="2"/>
      <c r="L33" s="3"/>
    </row>
    <row r="34" spans="9:13" ht="19.5" customHeight="1" x14ac:dyDescent="0.3">
      <c r="I34" s="1"/>
      <c r="J34" s="1"/>
      <c r="K34" s="2"/>
      <c r="L34" s="3"/>
    </row>
    <row r="35" spans="9:13" ht="19.5" customHeight="1" x14ac:dyDescent="0.3">
      <c r="I35" s="1"/>
      <c r="J35" s="1"/>
      <c r="K35" s="2"/>
      <c r="L35" s="3"/>
    </row>
    <row r="36" spans="9:13" ht="19.5" customHeight="1" x14ac:dyDescent="0.3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3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3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3">
      <c r="I39" s="1"/>
      <c r="J39" s="1"/>
      <c r="K39" s="2"/>
      <c r="L39" s="1" t="s">
        <v>23</v>
      </c>
      <c r="M39" s="4"/>
    </row>
    <row r="40" spans="9:13" ht="19.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.75" customHeight="1" x14ac:dyDescent="0.3">
      <c r="I1001" s="1"/>
      <c r="J1001" s="1"/>
      <c r="K1001" s="2"/>
      <c r="L1001" s="3"/>
    </row>
    <row r="1002" spans="9:12" ht="15.75" customHeight="1" x14ac:dyDescent="0.3">
      <c r="I1002" s="1"/>
      <c r="J1002" s="1"/>
      <c r="K1002" s="2"/>
      <c r="L1002" s="3"/>
    </row>
    <row r="1003" spans="9:12" ht="15.75" customHeight="1" x14ac:dyDescent="0.3">
      <c r="I1003" s="1"/>
      <c r="J1003" s="1"/>
      <c r="K1003" s="2"/>
      <c r="L1003" s="3"/>
    </row>
    <row r="1004" spans="9:12" ht="15.75" customHeight="1" x14ac:dyDescent="0.3">
      <c r="I1004" s="1"/>
      <c r="J1004" s="1"/>
      <c r="K1004" s="2"/>
      <c r="L1004" s="3"/>
    </row>
    <row r="1005" spans="9:12" ht="15.75" customHeight="1" x14ac:dyDescent="0.3">
      <c r="I1005" s="1"/>
      <c r="J1005" s="1"/>
      <c r="K1005" s="2"/>
      <c r="L1005" s="3"/>
    </row>
    <row r="1006" spans="9:12" ht="15.75" customHeight="1" x14ac:dyDescent="0.25">
      <c r="I1006" s="3"/>
      <c r="J1006" s="3"/>
      <c r="K1006" s="6"/>
      <c r="L1006" s="3"/>
    </row>
    <row r="1007" spans="9:12" ht="15" customHeight="1" x14ac:dyDescent="0.25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D10" sqref="D10"/>
    </sheetView>
  </sheetViews>
  <sheetFormatPr baseColWidth="10" defaultColWidth="12.59765625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70" t="s">
        <v>24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2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73" t="s">
        <v>25</v>
      </c>
      <c r="F9" s="72"/>
      <c r="G9" s="11"/>
      <c r="H9" s="73" t="s">
        <v>11</v>
      </c>
      <c r="I9" s="72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37</v>
      </c>
      <c r="D10" s="14"/>
      <c r="E10" s="74" t="str">
        <f>VLOOKUP(C10,'Formato descripción HU'!B6:O26,5,0)</f>
        <v>Administrador del conjunto</v>
      </c>
      <c r="F10" s="75"/>
      <c r="G10" s="15"/>
      <c r="H10" s="76" t="str">
        <f>VLOOKUP(C10,'Formato descripción HU'!B6:O26,11,0)</f>
        <v>Terminado</v>
      </c>
      <c r="I10" s="72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26</v>
      </c>
      <c r="D12" s="14"/>
      <c r="E12" s="73" t="s">
        <v>10</v>
      </c>
      <c r="F12" s="72"/>
      <c r="G12" s="15"/>
      <c r="H12" s="73" t="s">
        <v>27</v>
      </c>
      <c r="I12" s="72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>
        <f>VLOOKUP('Historia de Usuario'!C10,'Formato descripción HU'!B6:O26,8,0)</f>
        <v>4</v>
      </c>
      <c r="D13" s="14"/>
      <c r="E13" s="76" t="str">
        <f>VLOOKUP(C10,'Formato descripción HU'!B6:O26,10,0)</f>
        <v>Alta</v>
      </c>
      <c r="F13" s="72"/>
      <c r="G13" s="15"/>
      <c r="H13" s="76" t="str">
        <f>VLOOKUP(C10,'Formato descripción HU'!B6:O26,7,0)</f>
        <v>Joshep Chisaguano</v>
      </c>
      <c r="I13" s="72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51" t="s">
        <v>28</v>
      </c>
      <c r="D15" s="61" t="str">
        <f>VLOOKUP(C10,'Formato descripción HU'!B6:O26,3,0)</f>
        <v>El sistema deberá contar con un menú principal de navegación</v>
      </c>
      <c r="E15" s="55"/>
      <c r="F15" s="12"/>
      <c r="G15" s="51" t="s">
        <v>29</v>
      </c>
      <c r="H15" s="61" t="str">
        <f>VLOOKUP(C10,'Formato descripción HU'!B6:O26,4,0)</f>
        <v>Permitir al administrador acceder a todos los módulos del sistema desde una interfaz central</v>
      </c>
      <c r="I15" s="85"/>
      <c r="J15" s="55"/>
      <c r="K15" s="12"/>
      <c r="L15" s="87" t="s">
        <v>30</v>
      </c>
      <c r="M15" s="88" t="str">
        <f>VLOOKUP(C10,'Formato descripción HU'!B6:O26,6,0)</f>
        <v>Se desarrollará en NetBeans utilizando Java, implementando una interfaz principal que muestre un menú organizado con los diferentes módulos del sistema. El administrador podrá acceder a cada módulo mediante opciones claramente definidas.</v>
      </c>
      <c r="N15" s="89"/>
      <c r="O15" s="90"/>
      <c r="P15" s="27"/>
    </row>
    <row r="16" spans="2:16" ht="19.5" customHeight="1" x14ac:dyDescent="0.25">
      <c r="B16" s="26"/>
      <c r="C16" s="52"/>
      <c r="D16" s="59"/>
      <c r="E16" s="60"/>
      <c r="F16" s="12"/>
      <c r="G16" s="52"/>
      <c r="H16" s="59"/>
      <c r="I16" s="50"/>
      <c r="J16" s="60"/>
      <c r="K16" s="12"/>
      <c r="L16" s="52"/>
      <c r="M16" s="91"/>
      <c r="N16" s="92"/>
      <c r="O16" s="93"/>
      <c r="P16" s="27"/>
    </row>
    <row r="17" spans="2:16" ht="19.5" customHeight="1" x14ac:dyDescent="0.25">
      <c r="B17" s="26"/>
      <c r="C17" s="53"/>
      <c r="D17" s="56"/>
      <c r="E17" s="57"/>
      <c r="F17" s="12"/>
      <c r="G17" s="53"/>
      <c r="H17" s="56"/>
      <c r="I17" s="86"/>
      <c r="J17" s="57"/>
      <c r="K17" s="12"/>
      <c r="L17" s="53"/>
      <c r="M17" s="94"/>
      <c r="N17" s="95"/>
      <c r="O17" s="96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54" t="s">
        <v>31</v>
      </c>
      <c r="D19" s="55"/>
      <c r="E19" s="97" t="str">
        <f>VLOOKUP(C10,'Formato descripción HU'!B6:O25,14,0)</f>
        <v>Menú principal</v>
      </c>
      <c r="F19" s="98"/>
      <c r="G19" s="98"/>
      <c r="H19" s="98"/>
      <c r="I19" s="98"/>
      <c r="J19" s="98"/>
      <c r="K19" s="98"/>
      <c r="L19" s="98"/>
      <c r="M19" s="98"/>
      <c r="N19" s="98"/>
      <c r="O19" s="99"/>
      <c r="P19" s="27"/>
    </row>
    <row r="20" spans="2:16" ht="19.5" customHeight="1" x14ac:dyDescent="0.25">
      <c r="B20" s="26"/>
      <c r="C20" s="56"/>
      <c r="D20" s="57"/>
      <c r="E20" s="100"/>
      <c r="F20" s="101"/>
      <c r="G20" s="101"/>
      <c r="H20" s="101"/>
      <c r="I20" s="101"/>
      <c r="J20" s="101"/>
      <c r="K20" s="101"/>
      <c r="L20" s="101"/>
      <c r="M20" s="101"/>
      <c r="N20" s="101"/>
      <c r="O20" s="102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58" t="s">
        <v>32</v>
      </c>
      <c r="D22" s="55"/>
      <c r="E22" s="61" t="str">
        <f>VLOOKUP(C10,'Formato descripción HU'!B6:O26,12,0)</f>
        <v>Tras iniciar sesión, el sistema debe mostrar el menú con todas las opciones disponibles, cada opción debe redirigir correctamente al módulo correspondiente.</v>
      </c>
      <c r="F22" s="62"/>
      <c r="G22" s="62"/>
      <c r="H22" s="63"/>
      <c r="I22" s="12"/>
      <c r="J22" s="58" t="s">
        <v>13</v>
      </c>
      <c r="K22" s="55"/>
      <c r="L22" s="61" t="str">
        <f>VLOOKUP(C10,'Formato descripción HU'!B6:O26,13,0)</f>
        <v>El menú debe mostrarse únicamente tras un inicio de sesión exitoso</v>
      </c>
      <c r="M22" s="77"/>
      <c r="N22" s="77"/>
      <c r="O22" s="78"/>
      <c r="P22" s="27"/>
    </row>
    <row r="23" spans="2:16" ht="19.5" customHeight="1" x14ac:dyDescent="0.25">
      <c r="B23" s="26"/>
      <c r="C23" s="59"/>
      <c r="D23" s="60"/>
      <c r="E23" s="64"/>
      <c r="F23" s="65"/>
      <c r="G23" s="65"/>
      <c r="H23" s="66"/>
      <c r="I23" s="12"/>
      <c r="J23" s="59"/>
      <c r="K23" s="60"/>
      <c r="L23" s="79"/>
      <c r="M23" s="80"/>
      <c r="N23" s="80"/>
      <c r="O23" s="81"/>
      <c r="P23" s="27"/>
    </row>
    <row r="24" spans="2:16" ht="19.5" customHeight="1" x14ac:dyDescent="0.25">
      <c r="B24" s="26"/>
      <c r="C24" s="56"/>
      <c r="D24" s="57"/>
      <c r="E24" s="67"/>
      <c r="F24" s="68"/>
      <c r="G24" s="68"/>
      <c r="H24" s="69"/>
      <c r="I24" s="12"/>
      <c r="J24" s="56"/>
      <c r="K24" s="57"/>
      <c r="L24" s="82"/>
      <c r="M24" s="83"/>
      <c r="N24" s="83"/>
      <c r="O24" s="84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WINDOWS</cp:lastModifiedBy>
  <cp:revision/>
  <cp:lastPrinted>2022-11-25T05:25:55Z</cp:lastPrinted>
  <dcterms:created xsi:type="dcterms:W3CDTF">2019-10-21T15:37:14Z</dcterms:created>
  <dcterms:modified xsi:type="dcterms:W3CDTF">2026-06-23T22:31:13Z</dcterms:modified>
  <cp:category/>
  <cp:contentStatus/>
</cp:coreProperties>
</file>