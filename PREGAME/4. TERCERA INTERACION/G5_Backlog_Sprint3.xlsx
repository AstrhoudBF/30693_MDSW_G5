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crisd\Downloads\"/>
    </mc:Choice>
  </mc:AlternateContent>
  <xr:revisionPtr revIDLastSave="0" documentId="13_ncr:1_{C27A07FD-20FC-4552-AEBD-17A77822A58C}" xr6:coauthVersionLast="47" xr6:coauthVersionMax="47" xr10:uidLastSave="{00000000-0000-0000-0000-000000000000}"/>
  <bookViews>
    <workbookView xWindow="-120" yWindow="-120" windowWidth="20730" windowHeight="11040" xr2:uid="{00000000-000D-0000-FFFF-FFFF00000000}"/>
  </bookViews>
  <sheets>
    <sheet name="Backlog" sheetId="1" r:id="rId1"/>
    <sheet name="sprint1" sheetId="2" state="hidden" r:id="rId2"/>
    <sheet name="sprint2" sheetId="4" state="hidden" r:id="rId3"/>
    <sheet name="sprint3" sheetId="5" r:id="rId4"/>
    <sheet name="burdonchart"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9" i="3" l="1"/>
  <c r="K50" i="3"/>
  <c r="K51" i="3"/>
  <c r="K48" i="3"/>
  <c r="C54" i="3"/>
  <c r="C53" i="3"/>
  <c r="C34" i="3"/>
  <c r="C33" i="3"/>
  <c r="K31" i="3"/>
  <c r="K30" i="3"/>
  <c r="K29" i="3"/>
  <c r="K28" i="3"/>
  <c r="C14" i="3"/>
  <c r="C13" i="3"/>
  <c r="K11" i="3"/>
  <c r="K10" i="3"/>
  <c r="K9" i="3"/>
  <c r="K8" i="3"/>
  <c r="D54" i="3" l="1"/>
  <c r="E54" i="3" s="1"/>
  <c r="F54" i="3" s="1"/>
  <c r="G54" i="3" s="1"/>
  <c r="H54" i="3" s="1"/>
  <c r="I54" i="3" s="1"/>
  <c r="J54" i="3" s="1"/>
  <c r="D53" i="3"/>
  <c r="E53" i="3" s="1"/>
  <c r="F53" i="3" s="1"/>
  <c r="G53" i="3" s="1"/>
  <c r="H53" i="3" s="1"/>
  <c r="I53" i="3" s="1"/>
  <c r="J53" i="3" s="1"/>
  <c r="D34" i="3"/>
  <c r="E34" i="3" s="1"/>
  <c r="F34" i="3" s="1"/>
  <c r="G34" i="3" s="1"/>
  <c r="H34" i="3" s="1"/>
  <c r="I34" i="3" s="1"/>
  <c r="J34" i="3" s="1"/>
  <c r="D33" i="3"/>
  <c r="E33" i="3" s="1"/>
  <c r="F33" i="3" s="1"/>
  <c r="G33" i="3" s="1"/>
  <c r="H33" i="3" s="1"/>
  <c r="I33" i="3" s="1"/>
  <c r="J33" i="3" s="1"/>
  <c r="D14" i="3"/>
  <c r="E14" i="3" s="1"/>
  <c r="F14" i="3" s="1"/>
  <c r="G14" i="3" s="1"/>
  <c r="H14" i="3" s="1"/>
  <c r="I14" i="3" s="1"/>
  <c r="J14" i="3" s="1"/>
  <c r="D13" i="3"/>
  <c r="E13" i="3" s="1"/>
  <c r="F13" i="3" s="1"/>
  <c r="G13" i="3" s="1"/>
  <c r="H13" i="3" s="1"/>
  <c r="I13" i="3" s="1"/>
  <c r="J13" i="3" s="1"/>
</calcChain>
</file>

<file path=xl/sharedStrings.xml><?xml version="1.0" encoding="utf-8"?>
<sst xmlns="http://schemas.openxmlformats.org/spreadsheetml/2006/main" count="324" uniqueCount="160">
  <si>
    <t>Tema</t>
  </si>
  <si>
    <t>Como un..</t>
  </si>
  <si>
    <t>necesito</t>
  </si>
  <si>
    <t>asi podre...</t>
  </si>
  <si>
    <t>notas</t>
  </si>
  <si>
    <t>prioridad</t>
  </si>
  <si>
    <t>estatus</t>
  </si>
  <si>
    <t>REQ001</t>
  </si>
  <si>
    <t>Alta</t>
  </si>
  <si>
    <t>Administrador</t>
  </si>
  <si>
    <t>ID</t>
  </si>
  <si>
    <t>Necesito</t>
  </si>
  <si>
    <t>así podre...</t>
  </si>
  <si>
    <t>Prioridad</t>
  </si>
  <si>
    <t>Status</t>
  </si>
  <si>
    <t>Tareas</t>
  </si>
  <si>
    <t>Asignado</t>
  </si>
  <si>
    <t>Estimado</t>
  </si>
  <si>
    <t>REQ001-1</t>
  </si>
  <si>
    <t>REQ001-2</t>
  </si>
  <si>
    <t>REQ001-3</t>
  </si>
  <si>
    <t>Dia 7</t>
  </si>
  <si>
    <t>Dia 6</t>
  </si>
  <si>
    <t>Dia 5</t>
  </si>
  <si>
    <t>Dia 4</t>
  </si>
  <si>
    <t>Dia 3</t>
  </si>
  <si>
    <t>Dia 2</t>
  </si>
  <si>
    <t>Dia 1</t>
  </si>
  <si>
    <t>Total de Horas</t>
  </si>
  <si>
    <t>Horas Estimadas</t>
  </si>
  <si>
    <t>Horas Estimadas
Restantes</t>
  </si>
  <si>
    <t>REQ001-4</t>
  </si>
  <si>
    <t>Ingresar al sistema con crendenciales unicas del administrador</t>
  </si>
  <si>
    <t>Ingresar al menu del sistema como administrador</t>
  </si>
  <si>
    <t>REQ002</t>
  </si>
  <si>
    <t>Almacenamiento de residentes en el sistema</t>
  </si>
  <si>
    <t>Registrar la información personal y de vivienda de cada residente dentro del sistema</t>
  </si>
  <si>
    <t>validar datos antes de guardar</t>
  </si>
  <si>
    <t>REQ003</t>
  </si>
  <si>
    <t>Consulta y filtrado de información de residentes</t>
  </si>
  <si>
    <t>Buscar residentes mediante filtros especificados por el administrador</t>
  </si>
  <si>
    <t>Encontrar el residente mediante parámetros requeridos por el administrador</t>
  </si>
  <si>
    <t>REQ004</t>
  </si>
  <si>
    <t>Crear interfaz de inicio de sesión en Netbeans con lenguaje Java para los campos usuario y contraseña</t>
  </si>
  <si>
    <t>Cristian Suquillo</t>
  </si>
  <si>
    <t>Configurar NoSQLBooster e integrar librerias de conexion MongoDB en Netbeans</t>
  </si>
  <si>
    <t>REQ002-1</t>
  </si>
  <si>
    <t>Crear la interfaz del formulario para el registro de residentes utilizando Netbeans, lenguaje Java</t>
  </si>
  <si>
    <t>Melanie Zuñiga</t>
  </si>
  <si>
    <t>REQ002-2</t>
  </si>
  <si>
    <t>Implementar validaciones de campos obligatorios en el formulario</t>
  </si>
  <si>
    <t>REQ002-3</t>
  </si>
  <si>
    <t>Crear la estructura de la base de datos para almacenar residentes y viviendas en MongoDB</t>
  </si>
  <si>
    <t>REQ002-4</t>
  </si>
  <si>
    <t>REQ003-1</t>
  </si>
  <si>
    <t>Crear la interfaz de busqueda de residentes en Netbeans</t>
  </si>
  <si>
    <t>Paul Villacis</t>
  </si>
  <si>
    <t>REQ003-2</t>
  </si>
  <si>
    <t>Implementar filtros de busqueda por nombre, cedula y numero de vivienda</t>
  </si>
  <si>
    <t>REQ003-3</t>
  </si>
  <si>
    <t>Desarrollar la consulta a la base de datos para obtener los registros coincidentes</t>
  </si>
  <si>
    <t>REQ003-4</t>
  </si>
  <si>
    <t>REQ004-1</t>
  </si>
  <si>
    <t>REQ004-2</t>
  </si>
  <si>
    <t>REQ004-3</t>
  </si>
  <si>
    <t>REQ004-4</t>
  </si>
  <si>
    <t>Diseño de la interfaz de inicio de sesión del administrador</t>
  </si>
  <si>
    <t>Gestion de acceso a módulos del sistema</t>
  </si>
  <si>
    <t>Acceder a los modulos del sistema de manera organizada despued del inicio de sesión</t>
  </si>
  <si>
    <t>Navegar de forma eficiente entre las funcionalidades del sistema</t>
  </si>
  <si>
    <t>Joshep Chisaguano</t>
  </si>
  <si>
    <t>Crear la interfaz principal del sistema en NetBeans con Java para mostrar el menú de módulos</t>
  </si>
  <si>
    <t>Organizar los módulos dentro del menú según su funcionalidad</t>
  </si>
  <si>
    <t>Implementar la navegación entre los diferentes módulos desde el menú principal</t>
  </si>
  <si>
    <t>Verificar que el administrador pueda acceder correctamente a cada módulo después de iniciar sesión</t>
  </si>
  <si>
    <t>Garantizar el almacenamiento correcto y acceso a la información de los residentes</t>
  </si>
  <si>
    <t>Creación de la colección del usuario con credenciales en MongoDB</t>
  </si>
  <si>
    <t>Implementar la validacion de las credenciales consultando en la coleccion en MongoDB</t>
  </si>
  <si>
    <t>Programar la conexión y el guardado de datos del formulario en MongoDB mostrándolos en una tabla</t>
  </si>
  <si>
    <t>Mostrar los resultados de la busqueda con un mensaje de confirmacion</t>
  </si>
  <si>
    <t>REQ005</t>
  </si>
  <si>
    <t>REQ006</t>
  </si>
  <si>
    <t>REQ007</t>
  </si>
  <si>
    <t>En revision</t>
  </si>
  <si>
    <t>Control de pagos de alícuotas por vivienda</t>
  </si>
  <si>
    <t>Registrar los pagos mensuales de los residentes asociada a cada vivienda</t>
  </si>
  <si>
    <t>Gestión de arriendos de locales, parqueaderos o de la sede social</t>
  </si>
  <si>
    <t>Registrar y administrar los cobros por los diferentes tipos de arriendos</t>
  </si>
  <si>
    <t>Gestion de multas por imcuplimiento de las reglas del conjunto</t>
  </si>
  <si>
    <t>Registrar las multas especificas a las cuentas de los residentes</t>
  </si>
  <si>
    <t>Controlar multas por asambleas, mingas o mascotas</t>
  </si>
  <si>
    <t>REQ005-1</t>
  </si>
  <si>
    <t>REQ005-2</t>
  </si>
  <si>
    <t>Implementar la funcionalidad para seleccionar al residente y registrar el monto y período de pago</t>
  </si>
  <si>
    <t>REQ005-3</t>
  </si>
  <si>
    <t>REQ005-4</t>
  </si>
  <si>
    <t>REQ006-1</t>
  </si>
  <si>
    <t>REQ006-2</t>
  </si>
  <si>
    <t>REQ006-3</t>
  </si>
  <si>
    <t>Llevar un control claro de los ingresos por alícuotas y consultar el historial de pagos de cada residente</t>
  </si>
  <si>
    <t xml:space="preserve">Desarrollar la conexión en MongoDB para almacenar los pagos realizados </t>
  </si>
  <si>
    <t>Llevar un control claro de los ingresos generados por los arriendos</t>
  </si>
  <si>
    <t>Crear la interfaz de registro de pagos de alícuotas en Netbeans, lenguaje Java</t>
  </si>
  <si>
    <t>Crear la interfaz de registro de arriendos en NetBeans, lenguaje Java</t>
  </si>
  <si>
    <t>REQ006-4</t>
  </si>
  <si>
    <t>Implementar el formulario para registrar arriendos seleccionando residente, tipo de arriendo y valor del pago.</t>
  </si>
  <si>
    <t>Crear la conexión a la base de datos en MongoDB para almacenar los cobros registrados.</t>
  </si>
  <si>
    <t>diferenciar tipo de arriendo</t>
  </si>
  <si>
    <t>Crear la interfaz de registro de multas en NetBeans, lenguaje Java</t>
  </si>
  <si>
    <t>Crear la estructura de la colección en MongoDB y programar la conexión para almacenar las multas registradas.</t>
  </si>
  <si>
    <t>REQ007-1</t>
  </si>
  <si>
    <t>REQ007-2</t>
  </si>
  <si>
    <t>REQ007-3</t>
  </si>
  <si>
    <t>REQ007-4</t>
  </si>
  <si>
    <t>En proceso</t>
  </si>
  <si>
    <t xml:space="preserve">Mostrar los pagos registrados en el historial de cada residente en una tabla </t>
  </si>
  <si>
    <t>Mostrar el historial de arriendos y el total recaudado por cada tipo de arriendo en el sistema en diferentes tablas</t>
  </si>
  <si>
    <t>Configurar el catalogo con los tipos requeridos (asambleas, mingas, mascotas), junto con las tarifas base que defina el administrador</t>
  </si>
  <si>
    <t>Mostrar las multas registradas en una tabla</t>
  </si>
  <si>
    <t>Terminado</t>
  </si>
  <si>
    <t>REQ008</t>
  </si>
  <si>
    <t>REQ008-1</t>
  </si>
  <si>
    <t>REQ008-2</t>
  </si>
  <si>
    <t>REQ008-3</t>
  </si>
  <si>
    <t>REQ008-4</t>
  </si>
  <si>
    <t>REQ009</t>
  </si>
  <si>
    <t>REQ009-1</t>
  </si>
  <si>
    <t>REQ009-2</t>
  </si>
  <si>
    <t>REQ009-3</t>
  </si>
  <si>
    <t>REQ009-4</t>
  </si>
  <si>
    <t>REQ010</t>
  </si>
  <si>
    <t>REQ010-1</t>
  </si>
  <si>
    <t>REQ010-2</t>
  </si>
  <si>
    <t>REQ010-3</t>
  </si>
  <si>
    <t>REQ010-4</t>
  </si>
  <si>
    <t>Generación de reporte de pagos por residente</t>
  </si>
  <si>
    <t>Actualización de información de residentes y pagos</t>
  </si>
  <si>
    <t>Consulta de residentes con deudas pendientes</t>
  </si>
  <si>
    <t>Generar un panel de reportes detallados por residente y tipo de pago</t>
  </si>
  <si>
    <t>Un módulo de actualización que permita modificar la información de residentes y pagos registrados</t>
  </si>
  <si>
    <t>Un sistema de control de deudores que permita consultar los residentes que tienen pagos pendientes</t>
  </si>
  <si>
    <t>Visualizar y analizar de forma clara los pagos de alícuotas, arriendos y multas de cada residente</t>
  </si>
  <si>
    <t>Mantener la información actualizada y corregir errores en los registros del sistema</t>
  </si>
  <si>
    <t>Facilitar la gestión de cobro y el seguimiento de los residentes con deudas</t>
  </si>
  <si>
    <t>Crear una ventana en NetBeans donde el usuario pueda generar reportes, con opciones para seleccionar residente o tipo de pago y un botón “Generar reporte”.</t>
  </si>
  <si>
    <t>Diseñar la interfaz usando tablas y pestañas para organizar claramente la información de alícuotas, arriendos y multas.</t>
  </si>
  <si>
    <t>Configurar MongoDB y la conexión con Java para consultar los datos de pagos filtrados por diferentes criterios.</t>
  </si>
  <si>
    <t>Programar la lógica en Java para procesar los datos, mostrarlos en la tabla y permitir generar el reporte en pantalla o en PDF.</t>
  </si>
  <si>
    <t>Crear una ventana con una tabla y un botón “Consultar deudores” para cargar la información.</t>
  </si>
  <si>
    <t>Organizar la tabla mostrando datos como residente, vivienda, tipo de deuda y valor pendiente.</t>
  </si>
  <si>
    <t>Configurar MongoDB y la conexión con Java para consultar registros con estado pendiente.</t>
  </si>
  <si>
    <t>Programar la lógica para filtrar los deudores y mostrar los resultados en la tabla.</t>
  </si>
  <si>
    <t>Crear una ventana que permita buscar residentes o pagos y mostrar su información en un formulario editable.</t>
  </si>
  <si>
    <t>Diseñar el formulario con campos modificables y botones como “Actualizar” y “Guardar cambios”.</t>
  </si>
  <si>
    <t>Configurar MongoDB y la conexión con Java para permitir la actualización de datos en residentes y pagos.</t>
  </si>
  <si>
    <t>Programar la lógica para validar los cambios realizados y guardarlos correctamente en la base de datos.</t>
  </si>
  <si>
    <t>SPRINT 3</t>
  </si>
  <si>
    <t>Con 12 horas estimadas. El burndown chart presenta una particularidad en el Día 1, donde se registraron horas negativas, lo que indica que el equipo trabajó más de lo planificado en esa jornada. En los días siguientes el ritmo se estabilizó. Es importante destacar que la tarea REQ008-4 superó su estimación original, lo que sugiere que la lógica de filtrado de deudores resultó más compleja de lo previsto al requerir cruce de datos entre múltiples colecciones.</t>
  </si>
  <si>
    <t>Sumando 14 horas estimadas. El avance real se mantuvo por encima de la línea ideal durante los primeros días, evidenciando un inicio más lento de lo planificado. El mayor esfuerzo se concentró en los días intermedios y finales del sprint, cuando las tareas de integración con la base de datos fueron ejecutadas. Al cierre del sprint, la totalidad de las horas fue completada.</t>
  </si>
  <si>
    <t>Este requisito representa la funcionalidad de mayor complejidad del Sprint 3 y del proyecto en general, con 14 horas estimadas. Las tareas abarcaron la ventana de generación de reportes, el diseño de la interfaz con pestañas por tipo de pago, la configuración de consultas en MongoDB y la programación de la lógica con exportación a PDF. El burndown chart muestra un avance progresivo que se aceleró en los últimos días del sprint, cerrando con la totalidad de horas completadas. Este requisito marcó el cierre del tercer sprint y del desarrollo completo del sistema de gestión del conjunto residencial.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</si>
</sst>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x14ac:knownFonts="1">
    <font>
      <sz val="10"/>
      <color rgb="FF000000"/>
      <name val="Arial"/>
      <scheme val="minor"/>
    </font>
    <font>
      <sz val="10"/>
      <color theme="1"/>
      <name val="Arial"/>
      <family val="2"/>
    </font>
    <font>
      <sz val="11"/>
      <color rgb="FF000000"/>
      <name val="Inconsolata"/>
    </font>
    <font>
      <b/>
      <sz val="10"/>
      <color rgb="FF000000"/>
      <name val="Arial"/>
      <family val="2"/>
      <scheme val="minor"/>
    </font>
    <font>
      <sz val="10"/>
      <color rgb="FF4A86E8"/>
      <name val="Arial"/>
      <family val="2"/>
      <scheme val="minor"/>
    </font>
    <font>
      <sz val="10"/>
      <color rgb="FF4472C4"/>
      <name val="Arial"/>
      <family val="2"/>
      <scheme val="minor"/>
    </font>
    <font>
      <sz val="10"/>
      <color rgb="FF000000"/>
      <name val="Arial"/>
      <family val="2"/>
      <scheme val="minor"/>
    </font>
    <font>
      <sz val="10"/>
      <color rgb="FF4285F4"/>
      <name val="Arial"/>
      <family val="2"/>
      <scheme val="minor"/>
    </font>
    <font>
      <sz val="8"/>
      <name val="Arial"/>
      <scheme val="minor"/>
    </font>
    <font>
      <sz val="8"/>
      <name val="Arial"/>
      <family val="2"/>
      <scheme val="minor"/>
    </font>
    <font>
      <sz val="10"/>
      <color theme="4"/>
      <name val="Arial"/>
      <family val="2"/>
      <scheme val="minor"/>
    </font>
    <font>
      <sz val="10"/>
      <color theme="4"/>
      <name val="Calibri"/>
      <family val="2"/>
    </font>
    <font>
      <sz val="10"/>
      <color theme="4"/>
      <name val="Arial"/>
      <scheme val="minor"/>
    </font>
    <font>
      <sz val="10"/>
      <color rgb="FF0070C0"/>
      <name val="Arial"/>
      <family val="2"/>
      <scheme val="minor"/>
    </font>
    <font>
      <sz val="11"/>
      <color rgb="FF000000"/>
      <name val="Segoe UI"/>
      <family val="2"/>
    </font>
    <font>
      <sz val="10"/>
      <color theme="4" tint="-0.249977111117893"/>
      <name val="Arial"/>
      <family val="2"/>
      <scheme val="minor"/>
    </font>
    <font>
      <b/>
      <sz val="22"/>
      <color rgb="FF000000"/>
      <name val="Arial"/>
      <family val="2"/>
      <scheme val="minor"/>
    </font>
  </fonts>
  <fills count="9">
    <fill>
      <patternFill patternType="none"/>
    </fill>
    <fill>
      <patternFill patternType="gray125"/>
    </fill>
    <fill>
      <patternFill patternType="solid">
        <fgColor rgb="FFFFFFFF"/>
        <bgColor rgb="FFFFFFFF"/>
      </patternFill>
    </fill>
    <fill>
      <patternFill patternType="solid">
        <fgColor rgb="FFFFD966"/>
        <bgColor rgb="FFFFD966"/>
      </patternFill>
    </fill>
    <fill>
      <patternFill patternType="solid">
        <fgColor theme="7" tint="0.39997558519241921"/>
        <bgColor indexed="64"/>
      </patternFill>
    </fill>
    <fill>
      <patternFill patternType="solid">
        <fgColor rgb="FF00FF00"/>
        <bgColor indexed="64"/>
      </patternFill>
    </fill>
    <fill>
      <patternFill patternType="solid">
        <fgColor rgb="FF9FC5E8"/>
        <bgColor indexed="64"/>
      </patternFill>
    </fill>
    <fill>
      <patternFill patternType="solid">
        <fgColor rgb="FFFFFFFF"/>
        <bgColor indexed="64"/>
      </patternFill>
    </fill>
    <fill>
      <patternFill patternType="solid">
        <fgColor rgb="FFFFFF00"/>
        <bgColor indexed="64"/>
      </patternFill>
    </fill>
  </fills>
  <borders count="7">
    <border>
      <left/>
      <right/>
      <top/>
      <bottom/>
      <diagonal/>
    </border>
    <border>
      <left style="thin">
        <color rgb="FF999999"/>
      </left>
      <right style="thin">
        <color rgb="FF999999"/>
      </right>
      <top style="thin">
        <color rgb="FF999999"/>
      </top>
      <bottom style="thin">
        <color rgb="FF999999"/>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3">
    <xf numFmtId="0" fontId="0" fillId="0" borderId="0" xfId="0"/>
    <xf numFmtId="0" fontId="1" fillId="0" borderId="0" xfId="0" applyFont="1"/>
    <xf numFmtId="0" fontId="1" fillId="3" borderId="1" xfId="0" applyFont="1" applyFill="1" applyBorder="1"/>
    <xf numFmtId="0" fontId="1" fillId="0" borderId="1" xfId="0" applyFont="1" applyBorder="1"/>
    <xf numFmtId="0" fontId="2" fillId="2" borderId="1" xfId="0" applyFont="1" applyFill="1" applyBorder="1"/>
    <xf numFmtId="0" fontId="0" fillId="5" borderId="0" xfId="0" applyFill="1"/>
    <xf numFmtId="0" fontId="0" fillId="4" borderId="0" xfId="0" applyFill="1"/>
    <xf numFmtId="0" fontId="6" fillId="0" borderId="2" xfId="0" applyFont="1" applyBorder="1" applyAlignment="1">
      <alignment wrapText="1"/>
    </xf>
    <xf numFmtId="0" fontId="3" fillId="0" borderId="2" xfId="0" applyFont="1" applyBorder="1" applyAlignment="1">
      <alignment horizontal="center" wrapText="1"/>
    </xf>
    <xf numFmtId="0" fontId="6" fillId="6" borderId="2" xfId="0" applyFont="1" applyFill="1" applyBorder="1" applyAlignment="1">
      <alignment wrapText="1"/>
    </xf>
    <xf numFmtId="0" fontId="6" fillId="7" borderId="2" xfId="0" applyFont="1" applyFill="1" applyBorder="1" applyAlignment="1">
      <alignment wrapText="1"/>
    </xf>
    <xf numFmtId="0" fontId="3" fillId="0" borderId="2" xfId="0" applyFont="1" applyBorder="1" applyAlignment="1">
      <alignment wrapText="1"/>
    </xf>
    <xf numFmtId="0" fontId="5" fillId="0" borderId="2" xfId="0" applyFont="1" applyBorder="1" applyAlignment="1">
      <alignment wrapText="1"/>
    </xf>
    <xf numFmtId="0" fontId="5" fillId="0" borderId="2" xfId="0" applyFont="1" applyBorder="1" applyAlignment="1">
      <alignment horizontal="right" wrapText="1"/>
    </xf>
    <xf numFmtId="0" fontId="5" fillId="0" borderId="2" xfId="0" applyFont="1" applyBorder="1" applyAlignment="1">
      <alignment vertical="top" wrapText="1"/>
    </xf>
    <xf numFmtId="0" fontId="6" fillId="0" borderId="2" xfId="0" applyFont="1" applyBorder="1" applyAlignment="1">
      <alignment vertical="top" wrapText="1"/>
    </xf>
    <xf numFmtId="0" fontId="7" fillId="0" borderId="2" xfId="0" applyFont="1" applyBorder="1" applyAlignment="1">
      <alignment wrapText="1"/>
    </xf>
    <xf numFmtId="0" fontId="6" fillId="0" borderId="2" xfId="0" applyFont="1" applyBorder="1"/>
    <xf numFmtId="0" fontId="6" fillId="6" borderId="2" xfId="0" applyFont="1" applyFill="1" applyBorder="1"/>
    <xf numFmtId="0" fontId="6" fillId="0" borderId="3" xfId="0" applyFont="1" applyBorder="1"/>
    <xf numFmtId="0" fontId="6" fillId="0" borderId="4" xfId="0" applyFont="1" applyBorder="1"/>
    <xf numFmtId="0" fontId="6" fillId="0" borderId="5" xfId="0" applyFont="1" applyBorder="1"/>
    <xf numFmtId="0" fontId="6" fillId="0" borderId="3" xfId="0" applyFont="1" applyBorder="1" applyAlignment="1">
      <alignment wrapText="1"/>
    </xf>
    <xf numFmtId="0" fontId="6" fillId="0" borderId="4" xfId="0" applyFont="1" applyBorder="1" applyAlignment="1">
      <alignment wrapText="1"/>
    </xf>
    <xf numFmtId="0" fontId="6" fillId="0" borderId="5" xfId="0" applyFont="1" applyBorder="1" applyAlignment="1">
      <alignment wrapText="1"/>
    </xf>
    <xf numFmtId="0" fontId="3" fillId="0" borderId="6" xfId="0" applyFont="1" applyBorder="1" applyAlignment="1">
      <alignment horizontal="center" wrapText="1"/>
    </xf>
    <xf numFmtId="0" fontId="10" fillId="0" borderId="6" xfId="0" applyFont="1" applyBorder="1"/>
    <xf numFmtId="0" fontId="11" fillId="0" borderId="6" xfId="0" applyFont="1" applyBorder="1" applyAlignment="1">
      <alignment horizontal="center" wrapText="1"/>
    </xf>
    <xf numFmtId="0" fontId="12" fillId="0" borderId="6" xfId="0" applyFont="1" applyBorder="1"/>
    <xf numFmtId="0" fontId="3" fillId="0" borderId="0" xfId="0" applyFont="1" applyAlignment="1">
      <alignment horizontal="center" wrapText="1"/>
    </xf>
    <xf numFmtId="0" fontId="6" fillId="6" borderId="0" xfId="0" applyFont="1" applyFill="1" applyAlignment="1">
      <alignment wrapText="1"/>
    </xf>
    <xf numFmtId="0" fontId="6"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5" fillId="0" borderId="0" xfId="0" applyFont="1" applyAlignment="1">
      <alignment horizontal="right" wrapText="1"/>
    </xf>
    <xf numFmtId="0" fontId="6" fillId="0" borderId="0" xfId="0" applyFont="1" applyAlignment="1">
      <alignment vertical="center"/>
    </xf>
    <xf numFmtId="0" fontId="13" fillId="0" borderId="2" xfId="0" applyFont="1" applyBorder="1" applyAlignment="1">
      <alignment horizontal="right" wrapText="1"/>
    </xf>
    <xf numFmtId="0" fontId="13" fillId="0" borderId="0" xfId="0" applyFont="1"/>
    <xf numFmtId="0" fontId="6" fillId="0" borderId="0" xfId="0" applyFont="1"/>
    <xf numFmtId="0" fontId="0" fillId="0" borderId="6" xfId="0" applyBorder="1"/>
    <xf numFmtId="0" fontId="4" fillId="0" borderId="6" xfId="0" applyFont="1" applyBorder="1" applyAlignment="1">
      <alignment horizontal="center" wrapText="1"/>
    </xf>
    <xf numFmtId="0" fontId="14" fillId="0" borderId="2" xfId="0" applyFont="1" applyBorder="1" applyAlignment="1">
      <alignment vertical="center"/>
    </xf>
    <xf numFmtId="0" fontId="14" fillId="0" borderId="0" xfId="0" applyFont="1" applyAlignment="1">
      <alignment vertical="center"/>
    </xf>
    <xf numFmtId="0" fontId="6" fillId="0" borderId="3" xfId="0" applyFont="1" applyBorder="1" applyAlignment="1">
      <alignment wrapText="1"/>
    </xf>
    <xf numFmtId="0" fontId="6" fillId="0" borderId="4" xfId="0" applyFont="1" applyBorder="1" applyAlignment="1">
      <alignment wrapText="1"/>
    </xf>
    <xf numFmtId="0" fontId="6" fillId="0" borderId="5" xfId="0" applyFont="1" applyBorder="1" applyAlignment="1">
      <alignment wrapText="1"/>
    </xf>
    <xf numFmtId="0" fontId="6" fillId="0" borderId="3" xfId="0" applyFont="1" applyBorder="1"/>
    <xf numFmtId="0" fontId="6" fillId="0" borderId="4" xfId="0" applyFont="1" applyBorder="1"/>
    <xf numFmtId="0" fontId="6" fillId="0" borderId="5" xfId="0" applyFont="1" applyBorder="1"/>
    <xf numFmtId="0" fontId="6" fillId="0" borderId="0" xfId="0" applyFont="1" applyAlignment="1">
      <alignment wrapText="1"/>
    </xf>
    <xf numFmtId="0" fontId="6" fillId="0" borderId="0" xfId="0" applyFont="1" applyAlignment="1">
      <alignment vertical="center"/>
    </xf>
    <xf numFmtId="0" fontId="15" fillId="0" borderId="0" xfId="0" applyFont="1" applyAlignment="1">
      <alignment horizontal="left" vertical="center" wrapText="1"/>
    </xf>
    <xf numFmtId="0" fontId="16" fillId="8" borderId="0" xfId="0" applyFont="1" applyFill="1" applyAlignment="1">
      <alignment horizontal="center" vertical="center"/>
    </xf>
  </cellXfs>
  <cellStyles count="1">
    <cellStyle name="Normal" xfId="0" builtinId="0"/>
  </cellStyles>
  <dxfs count="5">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
    <tableStyle name="burdonchart-style" pivot="0" count="3" xr9:uid="{00000000-0011-0000-FFFF-FFFF00000000}">
      <tableStyleElement type="headerRow" dxfId="4"/>
      <tableStyleElement type="firstRowStripe" dxfId="3"/>
      <tableStyleElement type="secondRowStripe" dxfId="2"/>
    </tableStyle>
    <tableStyle name="burdonchart-style 2" pivot="0" count="2" xr9:uid="{00000000-0011-0000-FFFF-FFFF01000000}">
      <tableStyleElement type="firstRowStripe" dxfId="1"/>
      <tableStyleElement type="secondRowStripe" dxfId="0"/>
    </tableStyle>
  </tableStyles>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2708739748"/>
          <c:y val="5.9575003594018003E-2"/>
          <c:w val="0.71638705161854765"/>
          <c:h val="0.86882300089847264"/>
        </c:manualLayout>
      </c:layout>
      <c:lineChart>
        <c:grouping val="standard"/>
        <c:varyColors val="1"/>
        <c:ser>
          <c:idx val="0"/>
          <c:order val="0"/>
          <c:tx>
            <c:strRef>
              <c:f>burdonchart!$B$13</c:f>
              <c:strCache>
                <c:ptCount val="1"/>
                <c:pt idx="0">
                  <c:v>Horas Estimadas</c:v>
                </c:pt>
              </c:strCache>
            </c:strRef>
          </c:tx>
          <c:spPr>
            <a:ln cmpd="sng">
              <a:solidFill>
                <a:srgbClr val="3366CC"/>
              </a:solidFill>
            </a:ln>
          </c:spPr>
          <c:marker>
            <c:symbol val="none"/>
          </c:marker>
          <c:val>
            <c:numRef>
              <c:f>burdonchart!$C$13:$J$13</c:f>
              <c:numCache>
                <c:formatCode>General</c:formatCode>
                <c:ptCount val="8"/>
                <c:pt idx="0">
                  <c:v>12</c:v>
                </c:pt>
                <c:pt idx="1">
                  <c:v>9</c:v>
                </c:pt>
                <c:pt idx="2">
                  <c:v>7</c:v>
                </c:pt>
                <c:pt idx="3">
                  <c:v>7</c:v>
                </c:pt>
                <c:pt idx="4">
                  <c:v>5</c:v>
                </c:pt>
                <c:pt idx="5">
                  <c:v>3</c:v>
                </c:pt>
                <c:pt idx="6">
                  <c:v>1</c:v>
                </c:pt>
                <c:pt idx="7">
                  <c:v>-2</c:v>
                </c:pt>
              </c:numCache>
            </c:numRef>
          </c:val>
          <c:smooth val="0"/>
          <c:extLst>
            <c:ext xmlns:c16="http://schemas.microsoft.com/office/drawing/2014/chart" uri="{C3380CC4-5D6E-409C-BE32-E72D297353CC}">
              <c16:uniqueId val="{00000000-FD67-4B38-8B98-F1001BA11D6F}"/>
            </c:ext>
          </c:extLst>
        </c:ser>
        <c:ser>
          <c:idx val="1"/>
          <c:order val="1"/>
          <c:tx>
            <c:strRef>
              <c:f>burdonchart!$B$14</c:f>
              <c:strCache>
                <c:ptCount val="1"/>
                <c:pt idx="0">
                  <c:v>Horas Estimadas
Restantes</c:v>
                </c:pt>
              </c:strCache>
            </c:strRef>
          </c:tx>
          <c:spPr>
            <a:ln cmpd="sng">
              <a:solidFill>
                <a:srgbClr val="DC3912"/>
              </a:solidFill>
            </a:ln>
          </c:spPr>
          <c:marker>
            <c:symbol val="none"/>
          </c:marker>
          <c:val>
            <c:numRef>
              <c:f>burdonchart!$C$14:$J$14</c:f>
              <c:numCache>
                <c:formatCode>General</c:formatCode>
                <c:ptCount val="8"/>
                <c:pt idx="0">
                  <c:v>12</c:v>
                </c:pt>
                <c:pt idx="1">
                  <c:v>10.285714285714286</c:v>
                </c:pt>
                <c:pt idx="2">
                  <c:v>8.571428571428573</c:v>
                </c:pt>
                <c:pt idx="3">
                  <c:v>6.8571428571428585</c:v>
                </c:pt>
                <c:pt idx="4">
                  <c:v>5.1428571428571441</c:v>
                </c:pt>
                <c:pt idx="5">
                  <c:v>3.4285714285714297</c:v>
                </c:pt>
                <c:pt idx="6">
                  <c:v>1.7142857142857155</c:v>
                </c:pt>
                <c:pt idx="7">
                  <c:v>0</c:v>
                </c:pt>
              </c:numCache>
            </c:numRef>
          </c:val>
          <c:smooth val="0"/>
          <c:extLst>
            <c:ext xmlns:c16="http://schemas.microsoft.com/office/drawing/2014/chart" uri="{C3380CC4-5D6E-409C-BE32-E72D297353CC}">
              <c16:uniqueId val="{00000001-FD67-4B38-8B98-F1001BA11D6F}"/>
            </c:ext>
          </c:extLst>
        </c:ser>
        <c:dLbls>
          <c:showLegendKey val="0"/>
          <c:showVal val="0"/>
          <c:showCatName val="0"/>
          <c:showSerName val="0"/>
          <c:showPercent val="0"/>
          <c:showBubbleSize val="0"/>
        </c:dLbls>
        <c:smooth val="0"/>
        <c:axId val="121089006"/>
        <c:axId val="1777883363"/>
      </c:lineChart>
      <c:catAx>
        <c:axId val="121089006"/>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b="0" i="0">
                <a:solidFill>
                  <a:srgbClr val="000000"/>
                </a:solidFill>
                <a:latin typeface="Roboto"/>
              </a:defRPr>
            </a:pPr>
            <a:endParaRPr lang="es-EC"/>
          </a:p>
        </c:txPr>
        <c:crossAx val="1777883363"/>
        <c:crosses val="autoZero"/>
        <c:auto val="1"/>
        <c:lblAlgn val="ctr"/>
        <c:lblOffset val="100"/>
        <c:noMultiLvlLbl val="1"/>
      </c:catAx>
      <c:valAx>
        <c:axId val="17778833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endParaRPr lang="es-EC"/>
          </a:p>
        </c:txPr>
        <c:crossAx val="121089006"/>
        <c:crosses val="autoZero"/>
        <c:crossBetween val="between"/>
      </c:valAx>
    </c:plotArea>
    <c:legend>
      <c:legendPos val="r"/>
      <c:overlay val="0"/>
      <c:txPr>
        <a:bodyPr/>
        <a:lstStyle/>
        <a:p>
          <a:pPr lvl="0">
            <a:defRPr b="0" i="0">
              <a:solidFill>
                <a:srgbClr val="000000"/>
              </a:solidFill>
              <a:latin typeface="Roboto"/>
            </a:defRPr>
          </a:pPr>
          <a:endParaRPr lang="es-EC"/>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2708739748"/>
          <c:y val="5.9575003594018003E-2"/>
          <c:w val="0.71638705161854765"/>
          <c:h val="0.86882300089847264"/>
        </c:manualLayout>
      </c:layout>
      <c:lineChart>
        <c:grouping val="standard"/>
        <c:varyColors val="1"/>
        <c:ser>
          <c:idx val="0"/>
          <c:order val="0"/>
          <c:tx>
            <c:strRef>
              <c:f>burdonchart!$B$33</c:f>
              <c:strCache>
                <c:ptCount val="1"/>
                <c:pt idx="0">
                  <c:v>Horas Estimadas</c:v>
                </c:pt>
              </c:strCache>
            </c:strRef>
          </c:tx>
          <c:spPr>
            <a:ln cmpd="sng">
              <a:solidFill>
                <a:srgbClr val="3366CC"/>
              </a:solidFill>
            </a:ln>
          </c:spPr>
          <c:marker>
            <c:symbol val="none"/>
          </c:marker>
          <c:val>
            <c:numRef>
              <c:f>burdonchart!$C$33:$J$33</c:f>
              <c:numCache>
                <c:formatCode>General</c:formatCode>
                <c:ptCount val="8"/>
                <c:pt idx="0">
                  <c:v>14</c:v>
                </c:pt>
                <c:pt idx="1">
                  <c:v>10</c:v>
                </c:pt>
                <c:pt idx="2">
                  <c:v>8</c:v>
                </c:pt>
                <c:pt idx="3">
                  <c:v>8</c:v>
                </c:pt>
                <c:pt idx="4">
                  <c:v>5</c:v>
                </c:pt>
                <c:pt idx="5">
                  <c:v>3</c:v>
                </c:pt>
                <c:pt idx="6">
                  <c:v>3</c:v>
                </c:pt>
                <c:pt idx="7">
                  <c:v>0</c:v>
                </c:pt>
              </c:numCache>
            </c:numRef>
          </c:val>
          <c:smooth val="0"/>
          <c:extLst>
            <c:ext xmlns:c16="http://schemas.microsoft.com/office/drawing/2014/chart" uri="{C3380CC4-5D6E-409C-BE32-E72D297353CC}">
              <c16:uniqueId val="{00000000-8941-47C7-BC21-683B1F7A08A9}"/>
            </c:ext>
          </c:extLst>
        </c:ser>
        <c:ser>
          <c:idx val="1"/>
          <c:order val="1"/>
          <c:tx>
            <c:strRef>
              <c:f>burdonchart!$B$34</c:f>
              <c:strCache>
                <c:ptCount val="1"/>
                <c:pt idx="0">
                  <c:v>Horas Estimadas
Restantes</c:v>
                </c:pt>
              </c:strCache>
            </c:strRef>
          </c:tx>
          <c:spPr>
            <a:ln cmpd="sng">
              <a:solidFill>
                <a:srgbClr val="DC3912"/>
              </a:solidFill>
            </a:ln>
          </c:spPr>
          <c:marker>
            <c:symbol val="none"/>
          </c:marker>
          <c:val>
            <c:numRef>
              <c:f>burdonchart!$C$34:$J$34</c:f>
              <c:numCache>
                <c:formatCode>General</c:formatCode>
                <c:ptCount val="8"/>
                <c:pt idx="0">
                  <c:v>14</c:v>
                </c:pt>
                <c:pt idx="1">
                  <c:v>12</c:v>
                </c:pt>
                <c:pt idx="2">
                  <c:v>10</c:v>
                </c:pt>
                <c:pt idx="3">
                  <c:v>8</c:v>
                </c:pt>
                <c:pt idx="4">
                  <c:v>6</c:v>
                </c:pt>
                <c:pt idx="5">
                  <c:v>4</c:v>
                </c:pt>
                <c:pt idx="6">
                  <c:v>2</c:v>
                </c:pt>
                <c:pt idx="7">
                  <c:v>0</c:v>
                </c:pt>
              </c:numCache>
            </c:numRef>
          </c:val>
          <c:smooth val="0"/>
          <c:extLst>
            <c:ext xmlns:c16="http://schemas.microsoft.com/office/drawing/2014/chart" uri="{C3380CC4-5D6E-409C-BE32-E72D297353CC}">
              <c16:uniqueId val="{00000001-8941-47C7-BC21-683B1F7A08A9}"/>
            </c:ext>
          </c:extLst>
        </c:ser>
        <c:dLbls>
          <c:showLegendKey val="0"/>
          <c:showVal val="0"/>
          <c:showCatName val="0"/>
          <c:showSerName val="0"/>
          <c:showPercent val="0"/>
          <c:showBubbleSize val="0"/>
        </c:dLbls>
        <c:smooth val="0"/>
        <c:axId val="121089006"/>
        <c:axId val="1777883363"/>
      </c:lineChart>
      <c:catAx>
        <c:axId val="121089006"/>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b="0" i="0">
                <a:solidFill>
                  <a:srgbClr val="000000"/>
                </a:solidFill>
                <a:latin typeface="Roboto"/>
              </a:defRPr>
            </a:pPr>
            <a:endParaRPr lang="es-EC"/>
          </a:p>
        </c:txPr>
        <c:crossAx val="1777883363"/>
        <c:crosses val="autoZero"/>
        <c:auto val="1"/>
        <c:lblAlgn val="ctr"/>
        <c:lblOffset val="100"/>
        <c:noMultiLvlLbl val="1"/>
      </c:catAx>
      <c:valAx>
        <c:axId val="17778833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endParaRPr lang="es-EC"/>
          </a:p>
        </c:txPr>
        <c:crossAx val="121089006"/>
        <c:crosses val="autoZero"/>
        <c:crossBetween val="between"/>
      </c:valAx>
    </c:plotArea>
    <c:legend>
      <c:legendPos val="r"/>
      <c:overlay val="0"/>
      <c:txPr>
        <a:bodyPr/>
        <a:lstStyle/>
        <a:p>
          <a:pPr lvl="0">
            <a:defRPr b="0" i="0">
              <a:solidFill>
                <a:srgbClr val="000000"/>
              </a:solidFill>
              <a:latin typeface="Roboto"/>
            </a:defRPr>
          </a:pPr>
          <a:endParaRPr lang="es-EC"/>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2708739748"/>
          <c:y val="5.9575003594018003E-2"/>
          <c:w val="0.71638705161854765"/>
          <c:h val="0.86882300089847264"/>
        </c:manualLayout>
      </c:layout>
      <c:lineChart>
        <c:grouping val="standard"/>
        <c:varyColors val="1"/>
        <c:ser>
          <c:idx val="0"/>
          <c:order val="0"/>
          <c:tx>
            <c:strRef>
              <c:f>burdonchart!$B$53</c:f>
              <c:strCache>
                <c:ptCount val="1"/>
                <c:pt idx="0">
                  <c:v>Horas Estimadas</c:v>
                </c:pt>
              </c:strCache>
            </c:strRef>
          </c:tx>
          <c:spPr>
            <a:ln cmpd="sng">
              <a:solidFill>
                <a:srgbClr val="3366CC"/>
              </a:solidFill>
            </a:ln>
          </c:spPr>
          <c:marker>
            <c:symbol val="none"/>
          </c:marker>
          <c:val>
            <c:numRef>
              <c:f>burdonchart!$C$53:$J$53</c:f>
              <c:numCache>
                <c:formatCode>General</c:formatCode>
                <c:ptCount val="8"/>
                <c:pt idx="0">
                  <c:v>14</c:v>
                </c:pt>
                <c:pt idx="1">
                  <c:v>9</c:v>
                </c:pt>
                <c:pt idx="2">
                  <c:v>7</c:v>
                </c:pt>
                <c:pt idx="3">
                  <c:v>7</c:v>
                </c:pt>
                <c:pt idx="4">
                  <c:v>4</c:v>
                </c:pt>
                <c:pt idx="5">
                  <c:v>3</c:v>
                </c:pt>
                <c:pt idx="6">
                  <c:v>3</c:v>
                </c:pt>
                <c:pt idx="7">
                  <c:v>0</c:v>
                </c:pt>
              </c:numCache>
            </c:numRef>
          </c:val>
          <c:smooth val="0"/>
          <c:extLst>
            <c:ext xmlns:c16="http://schemas.microsoft.com/office/drawing/2014/chart" uri="{C3380CC4-5D6E-409C-BE32-E72D297353CC}">
              <c16:uniqueId val="{00000000-14FF-40CC-B984-FA865A7B1D7E}"/>
            </c:ext>
          </c:extLst>
        </c:ser>
        <c:ser>
          <c:idx val="1"/>
          <c:order val="1"/>
          <c:tx>
            <c:strRef>
              <c:f>burdonchart!$B$54</c:f>
              <c:strCache>
                <c:ptCount val="1"/>
                <c:pt idx="0">
                  <c:v>Horas Estimadas
Restantes</c:v>
                </c:pt>
              </c:strCache>
            </c:strRef>
          </c:tx>
          <c:spPr>
            <a:ln cmpd="sng">
              <a:solidFill>
                <a:srgbClr val="DC3912"/>
              </a:solidFill>
            </a:ln>
          </c:spPr>
          <c:marker>
            <c:symbol val="none"/>
          </c:marker>
          <c:val>
            <c:numRef>
              <c:f>burdonchart!$C$54:$J$54</c:f>
              <c:numCache>
                <c:formatCode>General</c:formatCode>
                <c:ptCount val="8"/>
                <c:pt idx="0">
                  <c:v>14</c:v>
                </c:pt>
                <c:pt idx="1">
                  <c:v>12</c:v>
                </c:pt>
                <c:pt idx="2">
                  <c:v>10</c:v>
                </c:pt>
                <c:pt idx="3">
                  <c:v>8</c:v>
                </c:pt>
                <c:pt idx="4">
                  <c:v>6</c:v>
                </c:pt>
                <c:pt idx="5">
                  <c:v>4</c:v>
                </c:pt>
                <c:pt idx="6">
                  <c:v>2</c:v>
                </c:pt>
                <c:pt idx="7">
                  <c:v>0</c:v>
                </c:pt>
              </c:numCache>
            </c:numRef>
          </c:val>
          <c:smooth val="0"/>
          <c:extLst>
            <c:ext xmlns:c16="http://schemas.microsoft.com/office/drawing/2014/chart" uri="{C3380CC4-5D6E-409C-BE32-E72D297353CC}">
              <c16:uniqueId val="{00000001-14FF-40CC-B984-FA865A7B1D7E}"/>
            </c:ext>
          </c:extLst>
        </c:ser>
        <c:dLbls>
          <c:showLegendKey val="0"/>
          <c:showVal val="0"/>
          <c:showCatName val="0"/>
          <c:showSerName val="0"/>
          <c:showPercent val="0"/>
          <c:showBubbleSize val="0"/>
        </c:dLbls>
        <c:smooth val="0"/>
        <c:axId val="121089006"/>
        <c:axId val="1777883363"/>
      </c:lineChart>
      <c:catAx>
        <c:axId val="121089006"/>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b="0" i="0">
                <a:solidFill>
                  <a:srgbClr val="000000"/>
                </a:solidFill>
                <a:latin typeface="Roboto"/>
              </a:defRPr>
            </a:pPr>
            <a:endParaRPr lang="es-EC"/>
          </a:p>
        </c:txPr>
        <c:crossAx val="1777883363"/>
        <c:crosses val="autoZero"/>
        <c:auto val="1"/>
        <c:lblAlgn val="ctr"/>
        <c:lblOffset val="100"/>
        <c:noMultiLvlLbl val="1"/>
      </c:catAx>
      <c:valAx>
        <c:axId val="17778833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endParaRPr lang="es-EC"/>
          </a:p>
        </c:txPr>
        <c:crossAx val="121089006"/>
        <c:crosses val="autoZero"/>
        <c:crossBetween val="between"/>
      </c:valAx>
    </c:plotArea>
    <c:legend>
      <c:legendPos val="r"/>
      <c:overlay val="0"/>
      <c:txPr>
        <a:bodyPr/>
        <a:lstStyle/>
        <a:p>
          <a:pPr lvl="0">
            <a:defRPr b="0" i="0">
              <a:solidFill>
                <a:srgbClr val="000000"/>
              </a:solidFill>
              <a:latin typeface="Roboto"/>
            </a:defRPr>
          </a:pPr>
          <a:endParaRPr lang="es-EC"/>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12</xdr:col>
      <xdr:colOff>0</xdr:colOff>
      <xdr:row>6</xdr:row>
      <xdr:rowOff>0</xdr:rowOff>
    </xdr:from>
    <xdr:ext cx="6655689" cy="2268590"/>
    <xdr:graphicFrame macro="">
      <xdr:nvGraphicFramePr>
        <xdr:cNvPr id="12" name="Chart 1" title="Gráfico">
          <a:extLst>
            <a:ext uri="{FF2B5EF4-FFF2-40B4-BE49-F238E27FC236}">
              <a16:creationId xmlns:a16="http://schemas.microsoft.com/office/drawing/2014/main" id="{10A9E4F8-D7E6-4D08-9F98-03364E64B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0</xdr:colOff>
      <xdr:row>26</xdr:row>
      <xdr:rowOff>0</xdr:rowOff>
    </xdr:from>
    <xdr:ext cx="6655689" cy="2268590"/>
    <xdr:graphicFrame macro="">
      <xdr:nvGraphicFramePr>
        <xdr:cNvPr id="13" name="Chart 1" title="Gráfico">
          <a:extLst>
            <a:ext uri="{FF2B5EF4-FFF2-40B4-BE49-F238E27FC236}">
              <a16:creationId xmlns:a16="http://schemas.microsoft.com/office/drawing/2014/main" id="{B8662E26-55FE-4BAB-9AE8-D0FCEF1D0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12</xdr:col>
      <xdr:colOff>0</xdr:colOff>
      <xdr:row>46</xdr:row>
      <xdr:rowOff>0</xdr:rowOff>
    </xdr:from>
    <xdr:ext cx="6655689" cy="2268590"/>
    <xdr:graphicFrame macro="">
      <xdr:nvGraphicFramePr>
        <xdr:cNvPr id="14" name="Chart 1" title="Gráfico">
          <a:extLst>
            <a:ext uri="{FF2B5EF4-FFF2-40B4-BE49-F238E27FC236}">
              <a16:creationId xmlns:a16="http://schemas.microsoft.com/office/drawing/2014/main" id="{1A2D1BB4-A578-42ED-B791-C0F37E1A9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992"/>
  <sheetViews>
    <sheetView tabSelected="1" zoomScale="90" zoomScaleNormal="90" workbookViewId="0">
      <selection activeCell="D8" sqref="D8"/>
    </sheetView>
  </sheetViews>
  <sheetFormatPr baseColWidth="10" defaultColWidth="12.5703125" defaultRowHeight="15" customHeight="1" x14ac:dyDescent="0.2"/>
  <cols>
    <col min="1" max="1" width="8.28515625" customWidth="1"/>
    <col min="2" max="2" width="57.28515625" customWidth="1"/>
    <col min="3" max="3" width="13.42578125" customWidth="1"/>
    <col min="4" max="4" width="77.28515625" customWidth="1"/>
    <col min="5" max="5" width="84.28515625" customWidth="1"/>
    <col min="6" max="6" width="59.42578125" bestFit="1" customWidth="1"/>
  </cols>
  <sheetData>
    <row r="2" spans="1:8" ht="15.75" customHeight="1" x14ac:dyDescent="0.2">
      <c r="A2" s="25" t="s">
        <v>10</v>
      </c>
      <c r="B2" s="25" t="s">
        <v>0</v>
      </c>
      <c r="C2" s="25" t="s">
        <v>1</v>
      </c>
      <c r="D2" s="25" t="s">
        <v>2</v>
      </c>
      <c r="E2" s="25" t="s">
        <v>3</v>
      </c>
      <c r="F2" s="25" t="s">
        <v>4</v>
      </c>
      <c r="G2" s="25" t="s">
        <v>5</v>
      </c>
      <c r="H2" s="25" t="s">
        <v>6</v>
      </c>
    </row>
    <row r="3" spans="1:8" ht="15.75" customHeight="1" x14ac:dyDescent="0.2">
      <c r="A3" s="26" t="s">
        <v>120</v>
      </c>
      <c r="B3" s="28" t="s">
        <v>137</v>
      </c>
      <c r="C3" s="40" t="s">
        <v>9</v>
      </c>
      <c r="D3" s="26" t="s">
        <v>140</v>
      </c>
      <c r="E3" s="28" t="s">
        <v>143</v>
      </c>
      <c r="F3" s="39"/>
      <c r="G3" s="27" t="s">
        <v>8</v>
      </c>
      <c r="H3" s="27" t="s">
        <v>83</v>
      </c>
    </row>
    <row r="4" spans="1:8" ht="15.75" customHeight="1" x14ac:dyDescent="0.2">
      <c r="A4" s="26" t="s">
        <v>125</v>
      </c>
      <c r="B4" s="28" t="s">
        <v>136</v>
      </c>
      <c r="C4" s="40" t="s">
        <v>9</v>
      </c>
      <c r="D4" s="26" t="s">
        <v>139</v>
      </c>
      <c r="E4" s="28" t="s">
        <v>142</v>
      </c>
      <c r="F4" s="39"/>
      <c r="G4" s="27" t="s">
        <v>8</v>
      </c>
      <c r="H4" s="27" t="s">
        <v>83</v>
      </c>
    </row>
    <row r="5" spans="1:8" ht="15.75" customHeight="1" x14ac:dyDescent="0.2">
      <c r="A5" s="26" t="s">
        <v>130</v>
      </c>
      <c r="B5" s="28" t="s">
        <v>135</v>
      </c>
      <c r="C5" s="40" t="s">
        <v>9</v>
      </c>
      <c r="D5" s="26" t="s">
        <v>138</v>
      </c>
      <c r="E5" s="28" t="s">
        <v>141</v>
      </c>
      <c r="F5" s="39"/>
      <c r="G5" s="27" t="s">
        <v>8</v>
      </c>
      <c r="H5" s="27" t="s">
        <v>83</v>
      </c>
    </row>
    <row r="8" spans="1:8" ht="15.75" customHeight="1" x14ac:dyDescent="0.2"/>
    <row r="9" spans="1:8" ht="15.75" customHeight="1" x14ac:dyDescent="0.2"/>
    <row r="10" spans="1:8" ht="15.75" customHeight="1" x14ac:dyDescent="0.2"/>
    <row r="11" spans="1:8" ht="15.75" customHeight="1" x14ac:dyDescent="0.2"/>
    <row r="12" spans="1:8" ht="15.75" customHeight="1" x14ac:dyDescent="0.2"/>
    <row r="13" spans="1:8" ht="15.75" customHeight="1" x14ac:dyDescent="0.2"/>
    <row r="14" spans="1:8" ht="15.75" customHeight="1" x14ac:dyDescent="0.2"/>
    <row r="15" spans="1:8" ht="15.75" customHeight="1" x14ac:dyDescent="0.2"/>
    <row r="16" spans="1:8"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sheetData>
  <phoneticPr fontId="8" type="noConversion"/>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6"/>
  <sheetViews>
    <sheetView zoomScale="81" zoomScaleNormal="90" workbookViewId="0">
      <selection activeCell="I27" sqref="I27:I30"/>
    </sheetView>
  </sheetViews>
  <sheetFormatPr baseColWidth="10" defaultColWidth="12.5703125" defaultRowHeight="15" customHeight="1" x14ac:dyDescent="0.2"/>
  <cols>
    <col min="1" max="2" width="12.5703125" customWidth="1"/>
    <col min="3" max="3" width="35.140625" customWidth="1"/>
    <col min="4" max="4" width="20.42578125" bestFit="1" customWidth="1"/>
    <col min="5" max="5" width="41.28515625" bestFit="1" customWidth="1"/>
    <col min="6" max="6" width="56.140625" customWidth="1"/>
    <col min="7" max="7" width="29" bestFit="1" customWidth="1"/>
  </cols>
  <sheetData>
    <row r="1" spans="1:26" ht="15.75" customHeight="1" thickBot="1" x14ac:dyDescent="0.25">
      <c r="A1" s="7"/>
      <c r="B1" s="7"/>
      <c r="C1" s="7"/>
      <c r="D1" s="7"/>
      <c r="E1" s="7"/>
      <c r="F1" s="7"/>
      <c r="G1" s="7"/>
      <c r="H1" s="7"/>
      <c r="I1" s="7"/>
      <c r="J1" s="7"/>
      <c r="K1" s="7"/>
      <c r="L1" s="7"/>
      <c r="M1" s="7"/>
      <c r="N1" s="7"/>
      <c r="O1" s="7"/>
      <c r="P1" s="7"/>
      <c r="Q1" s="7"/>
      <c r="R1" s="7"/>
      <c r="S1" s="7"/>
      <c r="T1" s="7"/>
      <c r="U1" s="7"/>
      <c r="V1" s="7"/>
      <c r="W1" s="7"/>
      <c r="X1" s="7"/>
      <c r="Y1" s="7"/>
      <c r="Z1" s="7"/>
    </row>
    <row r="2" spans="1:26" ht="15.75" customHeight="1" thickBot="1" x14ac:dyDescent="0.25">
      <c r="A2" s="7"/>
      <c r="B2" s="7"/>
      <c r="C2" s="7"/>
      <c r="D2" s="7"/>
      <c r="E2" s="7"/>
      <c r="F2" s="7"/>
      <c r="G2" s="7"/>
      <c r="H2" s="7"/>
      <c r="I2" s="7"/>
      <c r="J2" s="7"/>
      <c r="K2" s="7"/>
      <c r="L2" s="7"/>
      <c r="M2" s="7"/>
      <c r="N2" s="7"/>
      <c r="O2" s="7"/>
      <c r="P2" s="7"/>
      <c r="Q2" s="7"/>
      <c r="R2" s="7"/>
      <c r="S2" s="7"/>
      <c r="T2" s="7"/>
      <c r="U2" s="7"/>
      <c r="V2" s="7"/>
      <c r="W2" s="7"/>
      <c r="X2" s="7"/>
      <c r="Y2" s="7"/>
      <c r="Z2" s="7"/>
    </row>
    <row r="3" spans="1:26" ht="15.75" customHeight="1" thickBot="1" x14ac:dyDescent="0.25">
      <c r="A3" s="7"/>
      <c r="B3" s="8" t="s">
        <v>10</v>
      </c>
      <c r="C3" s="8" t="s">
        <v>0</v>
      </c>
      <c r="D3" s="8" t="s">
        <v>1</v>
      </c>
      <c r="E3" s="8" t="s">
        <v>11</v>
      </c>
      <c r="F3" s="8" t="s">
        <v>12</v>
      </c>
      <c r="G3" s="8" t="s">
        <v>4</v>
      </c>
      <c r="H3" s="8" t="s">
        <v>13</v>
      </c>
      <c r="I3" s="8" t="s">
        <v>14</v>
      </c>
      <c r="J3" s="7"/>
      <c r="K3" s="7"/>
      <c r="L3" s="7"/>
      <c r="M3" s="7"/>
      <c r="N3" s="7"/>
      <c r="O3" s="7"/>
      <c r="P3" s="7"/>
      <c r="Q3" s="7"/>
      <c r="R3" s="7"/>
      <c r="S3" s="7"/>
      <c r="T3" s="7"/>
      <c r="U3" s="7"/>
      <c r="V3" s="7"/>
      <c r="W3" s="7"/>
      <c r="X3" s="7"/>
      <c r="Y3" s="7"/>
      <c r="Z3" s="7"/>
    </row>
    <row r="4" spans="1:26" ht="15.75" customHeight="1" thickBot="1" x14ac:dyDescent="0.25">
      <c r="A4" s="7"/>
      <c r="B4" s="9" t="s">
        <v>7</v>
      </c>
      <c r="C4" s="18" t="s">
        <v>66</v>
      </c>
      <c r="D4" s="9" t="s">
        <v>9</v>
      </c>
      <c r="E4" s="18" t="s">
        <v>32</v>
      </c>
      <c r="F4" s="18" t="s">
        <v>33</v>
      </c>
      <c r="G4" s="9"/>
      <c r="H4" s="9" t="s">
        <v>8</v>
      </c>
      <c r="I4" s="9" t="s">
        <v>119</v>
      </c>
      <c r="J4" s="7"/>
      <c r="K4" s="10"/>
      <c r="L4" s="10"/>
      <c r="M4" s="10"/>
      <c r="N4" s="10"/>
      <c r="O4" s="10"/>
      <c r="P4" s="10"/>
      <c r="Q4" s="10"/>
      <c r="R4" s="10"/>
      <c r="S4" s="7"/>
      <c r="T4" s="7"/>
      <c r="U4" s="7"/>
      <c r="V4" s="7"/>
      <c r="W4" s="7"/>
      <c r="X4" s="7"/>
      <c r="Y4" s="7"/>
      <c r="Z4" s="7"/>
    </row>
    <row r="5" spans="1:26" ht="15.75" customHeight="1" thickBot="1" x14ac:dyDescent="0.25">
      <c r="A5" s="7"/>
      <c r="B5" s="7"/>
      <c r="C5" s="11" t="s">
        <v>15</v>
      </c>
      <c r="D5" s="7"/>
      <c r="E5" s="7"/>
      <c r="F5" s="7"/>
      <c r="G5" s="11" t="s">
        <v>16</v>
      </c>
      <c r="H5" s="7"/>
      <c r="I5" s="11" t="s">
        <v>17</v>
      </c>
      <c r="J5" s="7"/>
      <c r="K5" s="7"/>
      <c r="L5" s="7"/>
      <c r="M5" s="7"/>
      <c r="N5" s="7"/>
      <c r="O5" s="7"/>
      <c r="P5" s="7"/>
      <c r="Q5" s="7"/>
      <c r="R5" s="7"/>
      <c r="S5" s="7"/>
      <c r="T5" s="7"/>
      <c r="U5" s="7"/>
      <c r="V5" s="7"/>
      <c r="W5" s="7"/>
      <c r="X5" s="7"/>
      <c r="Y5" s="7"/>
      <c r="Z5" s="7"/>
    </row>
    <row r="6" spans="1:26" ht="15.75" customHeight="1" thickBot="1" x14ac:dyDescent="0.25">
      <c r="A6" s="7"/>
      <c r="B6" s="12" t="s">
        <v>18</v>
      </c>
      <c r="C6" s="46" t="s">
        <v>43</v>
      </c>
      <c r="D6" s="47"/>
      <c r="E6" s="47"/>
      <c r="F6" s="48"/>
      <c r="G6" s="7" t="s">
        <v>44</v>
      </c>
      <c r="H6" s="7"/>
      <c r="I6" s="13">
        <v>4</v>
      </c>
      <c r="J6" s="7"/>
      <c r="K6" s="7"/>
      <c r="L6" s="43"/>
      <c r="M6" s="44"/>
      <c r="N6" s="44"/>
      <c r="O6" s="45"/>
      <c r="P6" s="7"/>
      <c r="Q6" s="7"/>
      <c r="R6" s="7"/>
      <c r="S6" s="7"/>
      <c r="T6" s="7"/>
      <c r="U6" s="7"/>
      <c r="V6" s="7"/>
      <c r="W6" s="7"/>
      <c r="X6" s="7"/>
      <c r="Y6" s="7"/>
      <c r="Z6" s="7"/>
    </row>
    <row r="7" spans="1:26" ht="15.75" customHeight="1" thickBot="1" x14ac:dyDescent="0.25">
      <c r="A7" s="7"/>
      <c r="B7" s="12" t="s">
        <v>19</v>
      </c>
      <c r="C7" s="46" t="s">
        <v>76</v>
      </c>
      <c r="D7" s="47"/>
      <c r="E7" s="47"/>
      <c r="F7" s="48"/>
      <c r="G7" s="7" t="s">
        <v>44</v>
      </c>
      <c r="H7" s="7"/>
      <c r="I7" s="13">
        <v>2</v>
      </c>
      <c r="J7" s="7"/>
      <c r="K7" s="7"/>
      <c r="L7" s="43"/>
      <c r="M7" s="44"/>
      <c r="N7" s="44"/>
      <c r="O7" s="45"/>
      <c r="P7" s="7"/>
      <c r="Q7" s="7"/>
      <c r="R7" s="7"/>
      <c r="S7" s="7"/>
      <c r="T7" s="7"/>
      <c r="U7" s="7"/>
      <c r="V7" s="7"/>
      <c r="W7" s="7"/>
      <c r="X7" s="7"/>
      <c r="Y7" s="7"/>
      <c r="Z7" s="7"/>
    </row>
    <row r="8" spans="1:26" ht="15.75" customHeight="1" thickBot="1" x14ac:dyDescent="0.25">
      <c r="A8" s="7"/>
      <c r="B8" s="12" t="s">
        <v>20</v>
      </c>
      <c r="C8" s="46" t="s">
        <v>45</v>
      </c>
      <c r="D8" s="47"/>
      <c r="E8" s="47"/>
      <c r="F8" s="48"/>
      <c r="G8" s="7" t="s">
        <v>44</v>
      </c>
      <c r="H8" s="7"/>
      <c r="I8" s="13">
        <v>3</v>
      </c>
      <c r="J8" s="7"/>
      <c r="K8" s="7"/>
      <c r="L8" s="43"/>
      <c r="M8" s="44"/>
      <c r="N8" s="44"/>
      <c r="O8" s="45"/>
      <c r="P8" s="7"/>
      <c r="Q8" s="7"/>
      <c r="R8" s="7"/>
      <c r="S8" s="7"/>
      <c r="T8" s="7"/>
      <c r="U8" s="7"/>
      <c r="V8" s="7"/>
      <c r="W8" s="7"/>
      <c r="X8" s="7"/>
      <c r="Y8" s="7"/>
      <c r="Z8" s="7"/>
    </row>
    <row r="9" spans="1:26" ht="15.75" customHeight="1" thickBot="1" x14ac:dyDescent="0.25">
      <c r="A9" s="7"/>
      <c r="B9" s="14" t="s">
        <v>31</v>
      </c>
      <c r="C9" s="46" t="s">
        <v>77</v>
      </c>
      <c r="D9" s="47"/>
      <c r="E9" s="47"/>
      <c r="F9" s="48"/>
      <c r="G9" s="7" t="s">
        <v>44</v>
      </c>
      <c r="H9" s="7"/>
      <c r="I9" s="13">
        <v>1</v>
      </c>
      <c r="J9" s="7"/>
      <c r="K9" s="15"/>
      <c r="L9" s="43"/>
      <c r="M9" s="44"/>
      <c r="N9" s="44"/>
      <c r="O9" s="45"/>
      <c r="P9" s="7"/>
      <c r="Q9" s="7"/>
      <c r="R9" s="7"/>
      <c r="S9" s="7"/>
      <c r="T9" s="7"/>
      <c r="U9" s="7"/>
      <c r="V9" s="7"/>
      <c r="W9" s="7"/>
      <c r="X9" s="7"/>
      <c r="Y9" s="7"/>
      <c r="Z9" s="7"/>
    </row>
    <row r="10" spans="1:26" ht="15.75" customHeight="1" thickBot="1" x14ac:dyDescent="0.25">
      <c r="A10" s="7"/>
      <c r="B10" s="14"/>
      <c r="C10" s="19"/>
      <c r="D10" s="20"/>
      <c r="E10" s="20"/>
      <c r="F10" s="21"/>
      <c r="G10" s="7"/>
      <c r="H10" s="7"/>
      <c r="I10" s="13"/>
      <c r="J10" s="7"/>
      <c r="K10" s="15"/>
      <c r="L10" s="22"/>
      <c r="M10" s="23"/>
      <c r="N10" s="23"/>
      <c r="O10" s="24"/>
      <c r="P10" s="7"/>
      <c r="Q10" s="7"/>
      <c r="R10" s="7"/>
      <c r="S10" s="7"/>
      <c r="T10" s="7"/>
      <c r="U10" s="7"/>
      <c r="V10" s="7"/>
      <c r="W10" s="7"/>
      <c r="X10" s="7"/>
      <c r="Y10" s="7"/>
      <c r="Z10" s="7"/>
    </row>
    <row r="11" spans="1:26" ht="15.75" customHeight="1" thickBot="1" x14ac:dyDescent="0.25">
      <c r="A11" s="7"/>
      <c r="B11" s="9" t="s">
        <v>34</v>
      </c>
      <c r="C11" s="18" t="s">
        <v>67</v>
      </c>
      <c r="D11" s="9" t="s">
        <v>9</v>
      </c>
      <c r="E11" s="18" t="s">
        <v>68</v>
      </c>
      <c r="F11" s="18" t="s">
        <v>69</v>
      </c>
      <c r="G11" s="9"/>
      <c r="H11" s="9" t="s">
        <v>8</v>
      </c>
      <c r="I11" s="9" t="s">
        <v>119</v>
      </c>
      <c r="J11" s="7"/>
      <c r="K11" s="15"/>
      <c r="L11" s="22"/>
      <c r="M11" s="23"/>
      <c r="N11" s="23"/>
      <c r="O11" s="24"/>
      <c r="P11" s="7"/>
      <c r="Q11" s="7"/>
      <c r="R11" s="7"/>
      <c r="S11" s="7"/>
      <c r="T11" s="7"/>
      <c r="U11" s="7"/>
      <c r="V11" s="7"/>
      <c r="W11" s="7"/>
      <c r="X11" s="7"/>
      <c r="Y11" s="7"/>
      <c r="Z11" s="7"/>
    </row>
    <row r="12" spans="1:26" ht="15.75" customHeight="1" thickBot="1" x14ac:dyDescent="0.25">
      <c r="A12" s="7"/>
      <c r="B12" s="7"/>
      <c r="C12" s="11" t="s">
        <v>15</v>
      </c>
      <c r="D12" s="7"/>
      <c r="E12" s="7"/>
      <c r="F12" s="7"/>
      <c r="G12" s="11" t="s">
        <v>16</v>
      </c>
      <c r="H12" s="7"/>
      <c r="I12" s="11" t="s">
        <v>17</v>
      </c>
      <c r="J12" s="7"/>
      <c r="K12" s="15"/>
      <c r="L12" s="22"/>
      <c r="M12" s="23"/>
      <c r="N12" s="23"/>
      <c r="O12" s="24"/>
      <c r="P12" s="7"/>
      <c r="Q12" s="7"/>
      <c r="R12" s="7"/>
      <c r="S12" s="7"/>
      <c r="T12" s="7"/>
      <c r="U12" s="7"/>
      <c r="V12" s="7"/>
      <c r="W12" s="7"/>
      <c r="X12" s="7"/>
      <c r="Y12" s="7"/>
      <c r="Z12" s="7"/>
    </row>
    <row r="13" spans="1:26" ht="15.75" customHeight="1" thickBot="1" x14ac:dyDescent="0.25">
      <c r="A13" s="7"/>
      <c r="B13" s="16" t="s">
        <v>46</v>
      </c>
      <c r="C13" s="19" t="s">
        <v>71</v>
      </c>
      <c r="D13" s="20"/>
      <c r="E13" s="20"/>
      <c r="F13" s="21"/>
      <c r="G13" s="7" t="s">
        <v>70</v>
      </c>
      <c r="H13" s="7"/>
      <c r="I13" s="13">
        <v>5</v>
      </c>
      <c r="J13" s="7"/>
      <c r="K13" s="15"/>
      <c r="L13" s="22"/>
      <c r="M13" s="23"/>
      <c r="N13" s="23"/>
      <c r="O13" s="24"/>
      <c r="P13" s="7"/>
      <c r="Q13" s="7"/>
      <c r="R13" s="7"/>
      <c r="S13" s="7"/>
      <c r="T13" s="7"/>
      <c r="U13" s="7"/>
      <c r="V13" s="7"/>
      <c r="W13" s="7"/>
      <c r="X13" s="7"/>
      <c r="Y13" s="7"/>
      <c r="Z13" s="7"/>
    </row>
    <row r="14" spans="1:26" ht="15.75" customHeight="1" thickBot="1" x14ac:dyDescent="0.25">
      <c r="A14" s="7"/>
      <c r="B14" s="16" t="s">
        <v>49</v>
      </c>
      <c r="C14" s="19" t="s">
        <v>72</v>
      </c>
      <c r="D14" s="20"/>
      <c r="E14" s="20"/>
      <c r="F14" s="21"/>
      <c r="G14" s="7" t="s">
        <v>70</v>
      </c>
      <c r="H14" s="7"/>
      <c r="I14" s="36">
        <v>2</v>
      </c>
      <c r="J14" s="7"/>
      <c r="K14" s="15"/>
      <c r="L14" s="22"/>
      <c r="M14" s="23"/>
      <c r="N14" s="23"/>
      <c r="O14" s="24"/>
      <c r="P14" s="7"/>
      <c r="Q14" s="7"/>
      <c r="R14" s="7"/>
      <c r="S14" s="7"/>
      <c r="T14" s="7"/>
      <c r="U14" s="7"/>
      <c r="V14" s="7"/>
      <c r="W14" s="7"/>
      <c r="X14" s="7"/>
      <c r="Y14" s="7"/>
      <c r="Z14" s="7"/>
    </row>
    <row r="15" spans="1:26" ht="15.75" customHeight="1" thickBot="1" x14ac:dyDescent="0.25">
      <c r="A15" s="7"/>
      <c r="B15" s="16" t="s">
        <v>51</v>
      </c>
      <c r="C15" s="19" t="s">
        <v>73</v>
      </c>
      <c r="D15" s="20"/>
      <c r="E15" s="20"/>
      <c r="F15" s="21"/>
      <c r="G15" s="7" t="s">
        <v>70</v>
      </c>
      <c r="H15" s="7"/>
      <c r="I15" s="37">
        <v>2</v>
      </c>
      <c r="J15" s="13"/>
      <c r="K15" s="15"/>
      <c r="L15" s="22"/>
      <c r="M15" s="23"/>
      <c r="N15" s="23"/>
      <c r="O15" s="24"/>
      <c r="P15" s="7"/>
      <c r="Q15" s="7"/>
      <c r="R15" s="7"/>
      <c r="S15" s="7"/>
      <c r="T15" s="7"/>
      <c r="U15" s="7"/>
      <c r="V15" s="7"/>
      <c r="W15" s="7"/>
      <c r="X15" s="7"/>
      <c r="Y15" s="7"/>
      <c r="Z15" s="7"/>
    </row>
    <row r="16" spans="1:26" ht="15.75" customHeight="1" thickBot="1" x14ac:dyDescent="0.25">
      <c r="A16" s="7"/>
      <c r="B16" s="12" t="s">
        <v>53</v>
      </c>
      <c r="C16" s="19" t="s">
        <v>74</v>
      </c>
      <c r="D16" s="17"/>
      <c r="E16" s="17"/>
      <c r="F16" s="17"/>
      <c r="G16" s="7" t="s">
        <v>70</v>
      </c>
      <c r="H16" s="7"/>
      <c r="I16" s="13">
        <v>3</v>
      </c>
      <c r="J16" s="7"/>
      <c r="K16" s="15"/>
      <c r="L16" s="22"/>
      <c r="M16" s="23"/>
      <c r="N16" s="23"/>
      <c r="O16" s="24"/>
      <c r="P16" s="7"/>
      <c r="Q16" s="7"/>
      <c r="R16" s="7"/>
      <c r="S16" s="7"/>
      <c r="T16" s="7"/>
      <c r="U16" s="7"/>
      <c r="V16" s="7"/>
      <c r="W16" s="7"/>
      <c r="X16" s="7"/>
      <c r="Y16" s="7"/>
      <c r="Z16" s="7"/>
    </row>
    <row r="17" spans="1:26" ht="15.75" customHeight="1" thickBot="1" x14ac:dyDescent="0.2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5.75" customHeight="1" thickBot="1" x14ac:dyDescent="0.25">
      <c r="A18" s="7"/>
      <c r="B18" s="9" t="s">
        <v>38</v>
      </c>
      <c r="C18" s="18" t="s">
        <v>35</v>
      </c>
      <c r="D18" s="9" t="s">
        <v>9</v>
      </c>
      <c r="E18" s="18" t="s">
        <v>36</v>
      </c>
      <c r="F18" s="18" t="s">
        <v>75</v>
      </c>
      <c r="G18" s="18" t="s">
        <v>37</v>
      </c>
      <c r="H18" s="9" t="s">
        <v>8</v>
      </c>
      <c r="I18" s="9" t="s">
        <v>119</v>
      </c>
      <c r="J18" s="7"/>
      <c r="K18" s="7"/>
      <c r="L18" s="7"/>
      <c r="M18" s="7"/>
      <c r="N18" s="7"/>
      <c r="O18" s="7"/>
      <c r="P18" s="7"/>
      <c r="Q18" s="7"/>
      <c r="R18" s="7"/>
      <c r="S18" s="7"/>
      <c r="T18" s="7"/>
      <c r="U18" s="7"/>
      <c r="V18" s="7"/>
      <c r="W18" s="7"/>
      <c r="X18" s="7"/>
      <c r="Y18" s="7"/>
      <c r="Z18" s="7"/>
    </row>
    <row r="19" spans="1:26" ht="15.75" customHeight="1" thickBot="1" x14ac:dyDescent="0.25">
      <c r="A19" s="7"/>
      <c r="B19" s="7"/>
      <c r="C19" s="11" t="s">
        <v>15</v>
      </c>
      <c r="D19" s="7"/>
      <c r="E19" s="7"/>
      <c r="F19" s="7"/>
      <c r="G19" s="11" t="s">
        <v>16</v>
      </c>
      <c r="H19" s="7"/>
      <c r="I19" s="11" t="s">
        <v>17</v>
      </c>
      <c r="J19" s="7"/>
      <c r="K19" s="7"/>
      <c r="L19" s="7"/>
      <c r="M19" s="7"/>
      <c r="N19" s="7"/>
      <c r="O19" s="7"/>
      <c r="P19" s="7"/>
      <c r="Q19" s="7"/>
      <c r="R19" s="7"/>
      <c r="S19" s="7"/>
      <c r="T19" s="7"/>
      <c r="U19" s="7"/>
      <c r="V19" s="7"/>
      <c r="W19" s="7"/>
      <c r="X19" s="7"/>
      <c r="Y19" s="7"/>
      <c r="Z19" s="7"/>
    </row>
    <row r="20" spans="1:26" ht="15.75" customHeight="1" thickBot="1" x14ac:dyDescent="0.25">
      <c r="A20" s="7"/>
      <c r="B20" s="16" t="s">
        <v>54</v>
      </c>
      <c r="C20" s="46" t="s">
        <v>47</v>
      </c>
      <c r="D20" s="47"/>
      <c r="E20" s="47"/>
      <c r="F20" s="48"/>
      <c r="G20" s="7" t="s">
        <v>48</v>
      </c>
      <c r="H20" s="7"/>
      <c r="I20" s="13">
        <v>3</v>
      </c>
      <c r="J20" s="7"/>
      <c r="K20" s="7"/>
      <c r="L20" s="7"/>
      <c r="M20" s="7"/>
      <c r="N20" s="7"/>
      <c r="O20" s="7"/>
      <c r="P20" s="7"/>
      <c r="Q20" s="7"/>
      <c r="R20" s="7"/>
      <c r="S20" s="7"/>
      <c r="T20" s="7"/>
      <c r="U20" s="7"/>
      <c r="V20" s="7"/>
      <c r="W20" s="7"/>
      <c r="X20" s="7"/>
      <c r="Y20" s="7"/>
      <c r="Z20" s="7"/>
    </row>
    <row r="21" spans="1:26" ht="15.75" customHeight="1" thickBot="1" x14ac:dyDescent="0.25">
      <c r="A21" s="7"/>
      <c r="B21" s="16" t="s">
        <v>57</v>
      </c>
      <c r="C21" s="46" t="s">
        <v>50</v>
      </c>
      <c r="D21" s="47"/>
      <c r="E21" s="47"/>
      <c r="F21" s="48"/>
      <c r="G21" s="7" t="s">
        <v>48</v>
      </c>
      <c r="H21" s="7"/>
      <c r="I21" s="13">
        <v>3</v>
      </c>
      <c r="J21" s="7"/>
      <c r="K21" s="7"/>
      <c r="L21" s="7"/>
      <c r="M21" s="7"/>
      <c r="N21" s="7"/>
      <c r="O21" s="7"/>
      <c r="P21" s="7"/>
      <c r="Q21" s="7"/>
      <c r="R21" s="7"/>
      <c r="S21" s="7"/>
      <c r="T21" s="7"/>
      <c r="U21" s="7"/>
      <c r="V21" s="7"/>
      <c r="W21" s="7"/>
      <c r="X21" s="7"/>
      <c r="Y21" s="7"/>
      <c r="Z21" s="7"/>
    </row>
    <row r="22" spans="1:26" ht="15.75" customHeight="1" thickBot="1" x14ac:dyDescent="0.25">
      <c r="A22" s="7"/>
      <c r="B22" s="16" t="s">
        <v>59</v>
      </c>
      <c r="C22" s="46" t="s">
        <v>52</v>
      </c>
      <c r="D22" s="47"/>
      <c r="E22" s="47"/>
      <c r="F22" s="48"/>
      <c r="G22" s="7" t="s">
        <v>48</v>
      </c>
      <c r="H22" s="7"/>
      <c r="I22" s="13">
        <v>2</v>
      </c>
      <c r="J22" s="7"/>
      <c r="K22" s="7"/>
      <c r="L22" s="7"/>
      <c r="M22" s="7"/>
      <c r="N22" s="7"/>
      <c r="O22" s="7"/>
      <c r="P22" s="7"/>
      <c r="Q22" s="7"/>
      <c r="R22" s="7"/>
      <c r="S22" s="7"/>
      <c r="T22" s="7"/>
      <c r="U22" s="7"/>
      <c r="V22" s="7"/>
      <c r="W22" s="7"/>
      <c r="X22" s="7"/>
      <c r="Y22" s="7"/>
      <c r="Z22" s="7"/>
    </row>
    <row r="23" spans="1:26" ht="15.75" customHeight="1" thickBot="1" x14ac:dyDescent="0.25">
      <c r="A23" s="7"/>
      <c r="B23" s="16" t="s">
        <v>61</v>
      </c>
      <c r="C23" s="17" t="s">
        <v>78</v>
      </c>
      <c r="D23" s="17"/>
      <c r="E23" s="17"/>
      <c r="F23" s="17"/>
      <c r="G23" s="7" t="s">
        <v>48</v>
      </c>
      <c r="H23" s="7"/>
      <c r="I23" s="13">
        <v>4</v>
      </c>
      <c r="J23" s="7"/>
      <c r="K23" s="7"/>
      <c r="L23" s="7"/>
      <c r="M23" s="7"/>
      <c r="N23" s="7"/>
      <c r="O23" s="7"/>
      <c r="P23" s="7"/>
      <c r="Q23" s="7"/>
      <c r="R23" s="7"/>
      <c r="S23" s="7"/>
      <c r="T23" s="7"/>
      <c r="U23" s="7"/>
      <c r="V23" s="7"/>
      <c r="W23" s="7"/>
      <c r="X23" s="7"/>
      <c r="Y23" s="7"/>
      <c r="Z23" s="7"/>
    </row>
    <row r="24" spans="1:26" ht="15.75" customHeight="1" thickBot="1" x14ac:dyDescent="0.2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thickBot="1" x14ac:dyDescent="0.25">
      <c r="A25" s="7"/>
      <c r="B25" s="9" t="s">
        <v>42</v>
      </c>
      <c r="C25" s="18" t="s">
        <v>39</v>
      </c>
      <c r="D25" s="9" t="s">
        <v>9</v>
      </c>
      <c r="E25" s="18" t="s">
        <v>40</v>
      </c>
      <c r="F25" s="18" t="s">
        <v>41</v>
      </c>
      <c r="G25" s="9"/>
      <c r="H25" s="9" t="s">
        <v>8</v>
      </c>
      <c r="I25" s="9" t="s">
        <v>119</v>
      </c>
      <c r="J25" s="7"/>
      <c r="K25" s="7"/>
      <c r="L25" s="7"/>
      <c r="M25" s="7"/>
      <c r="N25" s="7"/>
      <c r="O25" s="7"/>
      <c r="P25" s="7"/>
      <c r="Q25" s="7"/>
      <c r="R25" s="7"/>
      <c r="S25" s="7"/>
      <c r="T25" s="7"/>
      <c r="U25" s="7"/>
      <c r="V25" s="7"/>
      <c r="W25" s="7"/>
      <c r="X25" s="7"/>
      <c r="Y25" s="7"/>
      <c r="Z25" s="7"/>
    </row>
    <row r="26" spans="1:26" ht="15.75" customHeight="1" thickBot="1" x14ac:dyDescent="0.25">
      <c r="A26" s="7"/>
      <c r="B26" s="7"/>
      <c r="C26" s="11" t="s">
        <v>15</v>
      </c>
      <c r="D26" s="7"/>
      <c r="E26" s="7"/>
      <c r="F26" s="7"/>
      <c r="G26" s="11" t="s">
        <v>16</v>
      </c>
      <c r="H26" s="7"/>
      <c r="I26" s="11" t="s">
        <v>17</v>
      </c>
      <c r="J26" s="7"/>
      <c r="K26" s="7"/>
      <c r="L26" s="7"/>
      <c r="M26" s="7"/>
      <c r="N26" s="7"/>
      <c r="O26" s="7"/>
      <c r="P26" s="7"/>
      <c r="Q26" s="7"/>
      <c r="R26" s="7"/>
      <c r="S26" s="7"/>
      <c r="T26" s="7"/>
      <c r="U26" s="7"/>
      <c r="V26" s="7"/>
      <c r="W26" s="7"/>
      <c r="X26" s="7"/>
      <c r="Y26" s="7"/>
      <c r="Z26" s="7"/>
    </row>
    <row r="27" spans="1:26" ht="15.75" customHeight="1" thickBot="1" x14ac:dyDescent="0.25">
      <c r="A27" s="7"/>
      <c r="B27" s="16" t="s">
        <v>62</v>
      </c>
      <c r="C27" s="17" t="s">
        <v>55</v>
      </c>
      <c r="D27" s="7"/>
      <c r="E27" s="7"/>
      <c r="F27" s="7"/>
      <c r="G27" s="7" t="s">
        <v>56</v>
      </c>
      <c r="H27" s="7"/>
      <c r="I27" s="13">
        <v>4</v>
      </c>
      <c r="J27" s="7"/>
      <c r="K27" s="7"/>
      <c r="L27" s="7"/>
      <c r="M27" s="7"/>
      <c r="N27" s="7"/>
      <c r="O27" s="7"/>
      <c r="P27" s="7"/>
      <c r="Q27" s="7"/>
      <c r="R27" s="7"/>
      <c r="S27" s="7"/>
      <c r="T27" s="7"/>
      <c r="U27" s="7"/>
      <c r="V27" s="7"/>
      <c r="W27" s="7"/>
      <c r="X27" s="7"/>
      <c r="Y27" s="7"/>
      <c r="Z27" s="7"/>
    </row>
    <row r="28" spans="1:26" ht="15.75" customHeight="1" thickBot="1" x14ac:dyDescent="0.25">
      <c r="A28" s="7"/>
      <c r="B28" s="16" t="s">
        <v>63</v>
      </c>
      <c r="C28" s="17" t="s">
        <v>58</v>
      </c>
      <c r="D28" s="7"/>
      <c r="E28" s="7"/>
      <c r="F28" s="7"/>
      <c r="G28" s="7" t="s">
        <v>56</v>
      </c>
      <c r="H28" s="7"/>
      <c r="I28" s="13">
        <v>5</v>
      </c>
      <c r="J28" s="7"/>
      <c r="K28" s="7"/>
      <c r="L28" s="7"/>
      <c r="M28" s="7"/>
      <c r="N28" s="7"/>
      <c r="O28" s="7"/>
      <c r="P28" s="7"/>
      <c r="Q28" s="7"/>
      <c r="R28" s="7"/>
      <c r="S28" s="7"/>
      <c r="T28" s="7"/>
      <c r="U28" s="7"/>
      <c r="V28" s="7"/>
      <c r="W28" s="7"/>
      <c r="X28" s="7"/>
      <c r="Y28" s="7"/>
      <c r="Z28" s="7"/>
    </row>
    <row r="29" spans="1:26" ht="15.75" customHeight="1" thickBot="1" x14ac:dyDescent="0.25">
      <c r="A29" s="7"/>
      <c r="B29" s="16" t="s">
        <v>64</v>
      </c>
      <c r="C29" s="17" t="s">
        <v>60</v>
      </c>
      <c r="D29" s="7"/>
      <c r="E29" s="7"/>
      <c r="F29" s="7"/>
      <c r="G29" s="7" t="s">
        <v>56</v>
      </c>
      <c r="H29" s="7"/>
      <c r="I29" s="13">
        <v>2</v>
      </c>
      <c r="J29" s="7"/>
      <c r="K29" s="7"/>
      <c r="L29" s="7"/>
      <c r="M29" s="7"/>
      <c r="N29" s="7"/>
      <c r="O29" s="7"/>
      <c r="P29" s="7"/>
      <c r="Q29" s="7"/>
      <c r="R29" s="7"/>
      <c r="S29" s="7"/>
      <c r="T29" s="7"/>
      <c r="U29" s="7"/>
      <c r="V29" s="7"/>
      <c r="W29" s="7"/>
      <c r="X29" s="7"/>
      <c r="Y29" s="7"/>
      <c r="Z29" s="7"/>
    </row>
    <row r="30" spans="1:26" ht="15.75" customHeight="1" thickBot="1" x14ac:dyDescent="0.25">
      <c r="A30" s="7"/>
      <c r="B30" s="16" t="s">
        <v>65</v>
      </c>
      <c r="C30" s="17" t="s">
        <v>79</v>
      </c>
      <c r="D30" s="7"/>
      <c r="E30" s="7"/>
      <c r="F30" s="7"/>
      <c r="G30" s="7" t="s">
        <v>56</v>
      </c>
      <c r="H30" s="7"/>
      <c r="I30" s="13">
        <v>3</v>
      </c>
      <c r="J30" s="7"/>
      <c r="K30" s="7"/>
      <c r="L30" s="7"/>
      <c r="M30" s="7"/>
      <c r="N30" s="7"/>
      <c r="O30" s="7"/>
      <c r="P30" s="7"/>
      <c r="Q30" s="7"/>
      <c r="R30" s="7"/>
      <c r="S30" s="7"/>
      <c r="T30" s="7"/>
      <c r="U30" s="7"/>
      <c r="V30" s="7"/>
      <c r="W30" s="7"/>
      <c r="X30" s="7"/>
      <c r="Y30" s="7"/>
      <c r="Z30" s="7"/>
    </row>
    <row r="31" spans="1:26" ht="15.75" customHeight="1" thickBot="1"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thickBot="1"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thickBot="1"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thickBot="1"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thickBot="1"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thickBot="1"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thickBot="1"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thickBot="1"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thickBot="1"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thickBot="1"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thickBot="1"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thickBot="1"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thickBot="1"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thickBot="1"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thickBot="1"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thickBo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thickBo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thickBo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thickBo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thickBo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thickBo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thickBo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thickBo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thickBo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thickBo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thickBo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thickBo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thickBo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thickBo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thickBo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thickBo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thickBo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thickBo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thickBo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thickBo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thickBo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thickBo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thickBo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thickBo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thickBo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thickBo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thickBo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thickBo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thickBo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thickBo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thickBo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thickBo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thickBo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thickBo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thickBo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thickBo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thickBo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thickBo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thickBo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thickBo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thickBo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thickBo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thickBo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thickBo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thickBo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thickBo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thickBo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thickBo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thickBo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thickBo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thickBo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thickBo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thickBo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thickBo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thickBo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thickBo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thickBo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thickBo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thickBo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thickBo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thickBo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thickBo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thickBo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thickBo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thickBo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thickBo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thickBo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thickBo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thickBo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thickBo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thickBo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thickBo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thickBo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thickBo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thickBo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thickBo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thickBo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thickBo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thickBo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thickBo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thickBo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thickBo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thickBo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thickBo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thickBo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thickBo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thickBo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thickBo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thickBo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thickBo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thickBo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thickBo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thickBo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thickBo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thickBo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thickBo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thickBo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thickBo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thickBo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thickBo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thickBo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thickBo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thickBo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thickBo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thickBo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thickBo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thickBo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thickBo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thickBo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thickBo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thickBo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thickBo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thickBo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thickBo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thickBo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thickBo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thickBo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thickBo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thickBo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thickBo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thickBo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thickBo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thickBo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thickBo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thickBo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thickBo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thickBo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thickBo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thickBo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thickBo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thickBo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thickBo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thickBo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thickBo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thickBo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thickBo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thickBo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thickBo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thickBo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thickBo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thickBo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thickBo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thickBo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thickBo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thickBo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thickBo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thickBo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thickBo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thickBo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thickBo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thickBo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thickBo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thickBo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thickBo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thickBo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thickBo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thickBo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thickBo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thickBo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thickBo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thickBo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thickBo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thickBo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thickBo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thickBo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thickBo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thickBo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thickBo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thickBo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thickBo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thickBo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thickBo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thickBo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thickBo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thickBo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thickBo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thickBo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thickBo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thickBo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thickBo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thickBo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thickBo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thickBo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thickBo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thickBo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thickBo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thickBo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thickBo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thickBo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thickBo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thickBo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thickBo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thickBo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thickBo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thickBo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thickBo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thickBo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thickBo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thickBo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thickBo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thickBo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thickBo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thickBo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thickBo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thickBo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thickBo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thickBo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thickBo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thickBo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thickBo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thickBo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thickBo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thickBo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thickBo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thickBo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thickBo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thickBo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thickBo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thickBo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thickBo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thickBo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thickBo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thickBo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thickBo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thickBo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thickBo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thickBo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thickBo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thickBo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thickBo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thickBo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thickBo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thickBo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thickBo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thickBo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thickBo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thickBo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thickBo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thickBo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thickBo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thickBo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thickBo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thickBo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thickBo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thickBo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thickBo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thickBo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thickBo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thickBo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thickBo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thickBo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thickBo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thickBo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thickBo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thickBo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thickBo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thickBo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thickBo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thickBo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thickBo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thickBo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thickBo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thickBo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thickBo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thickBo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thickBo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thickBo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thickBo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thickBo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thickBo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thickBo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thickBo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thickBo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thickBo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thickBo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thickBo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thickBo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thickBo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thickBo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thickBo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thickBo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thickBo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thickBo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thickBo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thickBo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thickBo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thickBo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thickBo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thickBo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thickBo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thickBo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thickBo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thickBo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thickBo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thickBo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thickBo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thickBo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thickBo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thickBo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thickBo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thickBo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thickBo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thickBo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thickBo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thickBo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thickBo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thickBo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thickBo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thickBo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thickBo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thickBo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thickBo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thickBo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thickBo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thickBo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thickBo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thickBo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thickBo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thickBo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thickBo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thickBo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thickBo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thickBo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thickBo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thickBo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thickBo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thickBo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thickBo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thickBo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thickBo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thickBo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thickBo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thickBo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thickBo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thickBo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thickBo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thickBo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thickBo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thickBo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thickBo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thickBo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thickBo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thickBo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thickBo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thickBo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thickBo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thickBo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thickBo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thickBo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thickBo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thickBo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thickBo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thickBo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thickBo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thickBo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thickBo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thickBo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thickBo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thickBo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thickBo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thickBo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thickBo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thickBo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thickBo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thickBo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thickBo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thickBo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thickBo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thickBo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thickBo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thickBo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thickBo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thickBo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thickBo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thickBo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thickBo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thickBo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thickBo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thickBo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thickBo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thickBo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thickBo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thickBo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thickBo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thickBo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thickBo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thickBo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thickBo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thickBo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thickBo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thickBo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thickBo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thickBo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thickBo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thickBo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thickBo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thickBo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thickBo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thickBo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thickBo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thickBo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thickBo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thickBo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thickBo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thickBo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thickBo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thickBo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thickBo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thickBo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thickBo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thickBo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thickBo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thickBo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thickBo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thickBo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thickBo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thickBo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thickBo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thickBo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thickBo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thickBo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thickBo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thickBo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thickBo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thickBo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thickBo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thickBo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thickBo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thickBo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thickBo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thickBo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thickBo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thickBo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thickBo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thickBo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thickBo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thickBo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thickBo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thickBo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thickBo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thickBo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thickBo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thickBo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thickBo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thickBo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thickBo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thickBo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thickBo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thickBo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thickBo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thickBo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thickBo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thickBo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thickBo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thickBo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thickBo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thickBo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thickBo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thickBo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thickBo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thickBo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thickBo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thickBo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thickBo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thickBo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thickBo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thickBo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thickBo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thickBo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thickBo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thickBo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thickBo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thickBo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thickBo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thickBo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thickBo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thickBo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thickBo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thickBo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thickBo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thickBo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thickBo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thickBo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thickBo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thickBo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thickBo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thickBo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thickBo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thickBo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thickBo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thickBo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thickBo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thickBo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thickBo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thickBo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thickBo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thickBo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thickBo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thickBo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thickBo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thickBo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thickBo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thickBo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thickBo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thickBo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thickBo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thickBo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thickBo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thickBo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thickBo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thickBo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thickBo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thickBo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thickBo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thickBo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thickBo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thickBo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thickBo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thickBo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thickBo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thickBo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thickBo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thickBo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thickBo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thickBo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thickBo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thickBo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thickBo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thickBo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thickBo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thickBo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thickBo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thickBo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thickBo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thickBo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thickBo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thickBo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thickBo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thickBo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thickBo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thickBo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thickBo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thickBo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thickBo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thickBo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thickBo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thickBo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thickBo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thickBo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thickBo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thickBo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thickBo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thickBo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thickBo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thickBo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thickBo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thickBo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thickBo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thickBo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thickBo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thickBo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thickBo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thickBo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thickBo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thickBo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thickBo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thickBo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thickBo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thickBo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thickBo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thickBo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thickBo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thickBo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thickBo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thickBo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thickBo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thickBo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thickBo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thickBo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thickBo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thickBo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thickBo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thickBo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thickBo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thickBo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thickBo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thickBo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thickBo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thickBo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thickBo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thickBo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thickBo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thickBo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thickBo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thickBo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thickBo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thickBo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thickBo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thickBo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thickBo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thickBo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thickBo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thickBo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thickBo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thickBo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thickBo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thickBo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thickBo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thickBo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thickBo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thickBo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thickBo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thickBo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thickBo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thickBo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thickBo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thickBo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thickBo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thickBo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thickBo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thickBo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thickBo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thickBo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thickBo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thickBo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thickBo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thickBo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thickBo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thickBo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thickBo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thickBo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thickBo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thickBo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thickBo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thickBo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thickBo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thickBo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thickBo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thickBo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thickBo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thickBo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thickBo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thickBo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thickBo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thickBo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thickBo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thickBo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thickBo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thickBo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thickBo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thickBo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thickBo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thickBo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thickBo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thickBo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thickBo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thickBo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thickBo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thickBo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thickBo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thickBo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thickBo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thickBo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thickBo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thickBo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thickBo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thickBo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thickBo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thickBo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thickBo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thickBo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thickBo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thickBo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thickBo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thickBo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thickBo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thickBo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thickBo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thickBo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thickBo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thickBo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thickBo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thickBo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thickBo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thickBo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thickBo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thickBo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thickBo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thickBo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thickBo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thickBo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thickBo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thickBo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thickBo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thickBo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thickBo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thickBo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thickBo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thickBo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thickBo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thickBo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thickBo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thickBo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thickBo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thickBo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thickBo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thickBo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thickBo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thickBo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thickBo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thickBo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thickBo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thickBo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thickBo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thickBo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thickBo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thickBo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thickBo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thickBo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thickBo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thickBo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thickBo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thickBo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thickBo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thickBo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thickBo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thickBo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thickBo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thickBo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thickBo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thickBo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thickBo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thickBo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thickBo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thickBo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thickBo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thickBo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thickBo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thickBo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thickBo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thickBo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thickBo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thickBo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thickBo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thickBo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thickBo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thickBo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thickBo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thickBo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thickBo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thickBo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thickBo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thickBo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thickBo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thickBo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thickBo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thickBo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thickBo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thickBo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thickBo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thickBo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thickBo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thickBo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thickBo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thickBo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thickBo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thickBo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thickBo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thickBo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thickBo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thickBo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thickBo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thickBo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thickBo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thickBo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thickBo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thickBo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thickBo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thickBo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thickBo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thickBo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thickBo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thickBo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thickBo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thickBo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thickBo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thickBo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thickBo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thickBo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thickBo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thickBo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thickBo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thickBo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thickBo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thickBo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thickBo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thickBo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thickBo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thickBo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thickBo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thickBo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thickBo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thickBo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thickBo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thickBo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thickBo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thickBo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thickBo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thickBo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thickBo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thickBo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thickBo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thickBo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thickBo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thickBo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thickBo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thickBo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thickBo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thickBo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thickBo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thickBo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thickBo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thickBo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thickBo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thickBo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thickBo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thickBo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thickBo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thickBo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thickBo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thickBo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thickBo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thickBo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thickBo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thickBo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thickBo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thickBo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thickBo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thickBo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thickBo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thickBo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thickBo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thickBo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thickBo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thickBo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thickBo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thickBo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thickBo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thickBo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thickBo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thickBo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thickBo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thickBo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thickBo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thickBo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thickBo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thickBo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thickBo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thickBo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thickBo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thickBo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thickBo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thickBo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thickBo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thickBo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thickBo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thickBo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thickBo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thickBo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thickBo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thickBo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thickBo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thickBo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thickBo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thickBo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thickBo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thickBo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thickBo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thickBo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thickBo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thickBo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thickBo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thickBo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thickBo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thickBo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thickBo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thickBo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thickBo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thickBo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thickBo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thickBo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thickBo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thickBo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thickBo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thickBo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thickBo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thickBo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thickBo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thickBo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thickBo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thickBo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thickBo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thickBo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thickBo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thickBo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thickBo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thickBo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thickBo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thickBo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thickBo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thickBo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thickBo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thickBo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thickBo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thickBo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thickBo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thickBo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 customHeight="1" thickBo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 customHeight="1" thickBo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 customHeight="1" thickBo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 customHeight="1" thickBo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 customHeight="1" thickBo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 customHeight="1" thickBo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 customHeight="1" thickBo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 customHeight="1" thickBo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 customHeight="1" thickBo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 customHeight="1" thickBo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 customHeight="1" thickBo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 customHeight="1" thickBo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 customHeight="1" thickBo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 customHeight="1" thickBo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 customHeight="1" thickBo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 customHeight="1" thickBo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 customHeight="1" thickBo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 customHeight="1" thickBo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 customHeight="1" thickBo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 customHeight="1" thickBo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 customHeight="1" thickBo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 customHeight="1" thickBo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 customHeight="1" thickBo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 customHeight="1" thickBo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 customHeight="1" thickBo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 customHeight="1" thickBo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 customHeight="1" thickBo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 customHeight="1" thickBo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 customHeight="1" thickBo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 customHeight="1" thickBo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 customHeight="1" thickBo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 customHeight="1" thickBo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 customHeight="1" thickBo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 customHeight="1" thickBo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 customHeight="1" thickBo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 customHeight="1" thickBo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 customHeight="1" thickBo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 customHeight="1" thickBo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5" customHeight="1" thickBot="1" x14ac:dyDescent="0.25">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5" customHeight="1" thickBot="1" x14ac:dyDescent="0.25">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5" customHeight="1" thickBot="1" x14ac:dyDescent="0.25">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5" customHeight="1" thickBot="1" x14ac:dyDescent="0.25">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ht="15" customHeight="1" thickBot="1" x14ac:dyDescent="0.2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spans="1:26" ht="15" customHeight="1" thickBot="1" x14ac:dyDescent="0.25">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sheetData>
  <mergeCells count="11">
    <mergeCell ref="C21:F21"/>
    <mergeCell ref="C22:F22"/>
    <mergeCell ref="C6:F6"/>
    <mergeCell ref="C7:F7"/>
    <mergeCell ref="C8:F8"/>
    <mergeCell ref="C9:F9"/>
    <mergeCell ref="L6:O6"/>
    <mergeCell ref="L7:O7"/>
    <mergeCell ref="L8:O8"/>
    <mergeCell ref="L9:O9"/>
    <mergeCell ref="C20:F20"/>
  </mergeCells>
  <phoneticPr fontId="9" type="noConversion"/>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9B85A-B11A-4D97-AE2D-200A2A121A7F}">
  <dimension ref="B4:I24"/>
  <sheetViews>
    <sheetView zoomScale="81" zoomScaleNormal="81" workbookViewId="0">
      <selection activeCell="I21" sqref="I21:I24"/>
    </sheetView>
  </sheetViews>
  <sheetFormatPr baseColWidth="10" defaultRowHeight="12.75" x14ac:dyDescent="0.2"/>
  <cols>
    <col min="1" max="1" width="11.5703125" customWidth="1"/>
    <col min="2" max="2" width="12.7109375" customWidth="1"/>
    <col min="3" max="3" width="65.7109375" customWidth="1"/>
    <col min="4" max="4" width="18.7109375" customWidth="1"/>
    <col min="5" max="5" width="68.5703125" customWidth="1"/>
    <col min="6" max="6" width="90.42578125" customWidth="1"/>
    <col min="7" max="7" width="27.7109375" customWidth="1"/>
    <col min="8" max="8" width="18" customWidth="1"/>
    <col min="9" max="9" width="14.5703125" customWidth="1"/>
  </cols>
  <sheetData>
    <row r="4" spans="2:9" x14ac:dyDescent="0.2">
      <c r="B4" s="29" t="s">
        <v>10</v>
      </c>
      <c r="C4" s="29" t="s">
        <v>0</v>
      </c>
      <c r="D4" s="29" t="s">
        <v>1</v>
      </c>
      <c r="E4" s="29" t="s">
        <v>11</v>
      </c>
      <c r="F4" s="29" t="s">
        <v>12</v>
      </c>
      <c r="G4" s="29" t="s">
        <v>4</v>
      </c>
      <c r="H4" s="29" t="s">
        <v>13</v>
      </c>
      <c r="I4" s="29" t="s">
        <v>14</v>
      </c>
    </row>
    <row r="5" spans="2:9" ht="15.6" customHeight="1" x14ac:dyDescent="0.2">
      <c r="B5" s="30" t="s">
        <v>80</v>
      </c>
      <c r="C5" s="30" t="s">
        <v>84</v>
      </c>
      <c r="D5" s="30" t="s">
        <v>9</v>
      </c>
      <c r="E5" s="30" t="s">
        <v>85</v>
      </c>
      <c r="F5" s="30" t="s">
        <v>99</v>
      </c>
      <c r="G5" s="30"/>
      <c r="H5" s="30" t="s">
        <v>8</v>
      </c>
      <c r="I5" s="30" t="s">
        <v>114</v>
      </c>
    </row>
    <row r="6" spans="2:9" x14ac:dyDescent="0.2">
      <c r="B6" s="31"/>
      <c r="C6" s="32" t="s">
        <v>15</v>
      </c>
      <c r="D6" s="32"/>
      <c r="E6" s="32"/>
      <c r="F6" s="32"/>
      <c r="G6" s="32" t="s">
        <v>16</v>
      </c>
      <c r="H6" s="32"/>
      <c r="I6" s="32" t="s">
        <v>17</v>
      </c>
    </row>
    <row r="7" spans="2:9" ht="13.15" customHeight="1" x14ac:dyDescent="0.2">
      <c r="B7" s="33" t="s">
        <v>91</v>
      </c>
      <c r="C7" s="49" t="s">
        <v>102</v>
      </c>
      <c r="D7" s="49"/>
      <c r="E7" s="49"/>
      <c r="F7" s="49"/>
      <c r="G7" s="31" t="s">
        <v>44</v>
      </c>
      <c r="H7" s="31"/>
      <c r="I7" s="34">
        <v>5</v>
      </c>
    </row>
    <row r="8" spans="2:9" ht="16.149999999999999" customHeight="1" x14ac:dyDescent="0.2">
      <c r="B8" s="33" t="s">
        <v>92</v>
      </c>
      <c r="C8" s="50" t="s">
        <v>93</v>
      </c>
      <c r="D8" s="50"/>
      <c r="E8" s="50"/>
      <c r="F8" s="50"/>
      <c r="G8" s="31" t="s">
        <v>44</v>
      </c>
      <c r="H8" s="31"/>
      <c r="I8" s="34">
        <v>3</v>
      </c>
    </row>
    <row r="9" spans="2:9" ht="15" customHeight="1" x14ac:dyDescent="0.2">
      <c r="B9" s="33" t="s">
        <v>94</v>
      </c>
      <c r="C9" s="35" t="s">
        <v>100</v>
      </c>
      <c r="D9" s="35"/>
      <c r="E9" s="35"/>
      <c r="F9" s="35"/>
      <c r="G9" s="31" t="s">
        <v>44</v>
      </c>
      <c r="H9" s="31"/>
      <c r="I9" s="34">
        <v>2</v>
      </c>
    </row>
    <row r="10" spans="2:9" ht="14.45" customHeight="1" x14ac:dyDescent="0.2">
      <c r="B10" s="33" t="s">
        <v>95</v>
      </c>
      <c r="C10" s="49" t="s">
        <v>115</v>
      </c>
      <c r="D10" s="49"/>
      <c r="E10" s="49"/>
      <c r="F10" s="49"/>
      <c r="G10" s="31" t="s">
        <v>44</v>
      </c>
      <c r="H10" s="31"/>
      <c r="I10" s="34">
        <v>2</v>
      </c>
    </row>
    <row r="11" spans="2:9" ht="13.9" customHeight="1" x14ac:dyDescent="0.2">
      <c r="B11" s="33"/>
      <c r="C11" s="49"/>
      <c r="D11" s="49"/>
      <c r="E11" s="49"/>
      <c r="F11" s="49"/>
      <c r="G11" s="31"/>
      <c r="H11" s="31"/>
      <c r="I11" s="31"/>
    </row>
    <row r="12" spans="2:9" ht="15.6" customHeight="1" x14ac:dyDescent="0.2">
      <c r="B12" s="30" t="s">
        <v>81</v>
      </c>
      <c r="C12" s="30" t="s">
        <v>86</v>
      </c>
      <c r="D12" s="30" t="s">
        <v>9</v>
      </c>
      <c r="E12" s="30" t="s">
        <v>87</v>
      </c>
      <c r="F12" s="30" t="s">
        <v>101</v>
      </c>
      <c r="G12" s="30" t="s">
        <v>107</v>
      </c>
      <c r="H12" s="30" t="s">
        <v>8</v>
      </c>
      <c r="I12" s="30" t="s">
        <v>114</v>
      </c>
    </row>
    <row r="13" spans="2:9" ht="15" customHeight="1" x14ac:dyDescent="0.2">
      <c r="B13" s="31"/>
      <c r="C13" s="32" t="s">
        <v>15</v>
      </c>
      <c r="D13" s="32"/>
      <c r="E13" s="32"/>
      <c r="F13" s="32"/>
      <c r="G13" s="32" t="s">
        <v>16</v>
      </c>
      <c r="H13" s="32"/>
      <c r="I13" s="32" t="s">
        <v>17</v>
      </c>
    </row>
    <row r="14" spans="2:9" ht="13.9" customHeight="1" x14ac:dyDescent="0.2">
      <c r="B14" s="33" t="s">
        <v>96</v>
      </c>
      <c r="C14" s="49" t="s">
        <v>103</v>
      </c>
      <c r="D14" s="49"/>
      <c r="E14" s="49"/>
      <c r="F14" s="49"/>
      <c r="G14" s="31" t="s">
        <v>48</v>
      </c>
      <c r="H14" s="31"/>
      <c r="I14" s="34">
        <v>5</v>
      </c>
    </row>
    <row r="15" spans="2:9" ht="14.45" customHeight="1" x14ac:dyDescent="0.2">
      <c r="B15" s="33" t="s">
        <v>97</v>
      </c>
      <c r="C15" s="50" t="s">
        <v>105</v>
      </c>
      <c r="D15" s="50"/>
      <c r="E15" s="50"/>
      <c r="F15" s="50"/>
      <c r="G15" s="31" t="s">
        <v>48</v>
      </c>
      <c r="H15" s="31"/>
      <c r="I15" s="34">
        <v>3</v>
      </c>
    </row>
    <row r="16" spans="2:9" ht="13.15" customHeight="1" x14ac:dyDescent="0.2">
      <c r="B16" s="33" t="s">
        <v>98</v>
      </c>
      <c r="C16" s="49" t="s">
        <v>106</v>
      </c>
      <c r="D16" s="49"/>
      <c r="E16" s="49"/>
      <c r="F16" s="49"/>
      <c r="G16" s="31" t="s">
        <v>48</v>
      </c>
      <c r="H16" s="31"/>
      <c r="I16" s="34">
        <v>3</v>
      </c>
    </row>
    <row r="17" spans="2:9" x14ac:dyDescent="0.2">
      <c r="B17" s="33" t="s">
        <v>104</v>
      </c>
      <c r="C17" t="s">
        <v>116</v>
      </c>
      <c r="G17" s="31" t="s">
        <v>48</v>
      </c>
      <c r="I17" s="34">
        <v>3</v>
      </c>
    </row>
    <row r="19" spans="2:9" x14ac:dyDescent="0.2">
      <c r="B19" s="30" t="s">
        <v>82</v>
      </c>
      <c r="C19" s="30" t="s">
        <v>88</v>
      </c>
      <c r="D19" s="30" t="s">
        <v>9</v>
      </c>
      <c r="E19" s="30" t="s">
        <v>89</v>
      </c>
      <c r="F19" s="30" t="s">
        <v>90</v>
      </c>
      <c r="G19" s="30"/>
      <c r="H19" s="30" t="s">
        <v>8</v>
      </c>
      <c r="I19" s="30" t="s">
        <v>114</v>
      </c>
    </row>
    <row r="20" spans="2:9" x14ac:dyDescent="0.2">
      <c r="B20" s="31"/>
      <c r="C20" s="32" t="s">
        <v>15</v>
      </c>
      <c r="D20" s="32"/>
      <c r="E20" s="32"/>
      <c r="F20" s="32"/>
      <c r="G20" s="32" t="s">
        <v>16</v>
      </c>
      <c r="H20" s="32"/>
      <c r="I20" s="32" t="s">
        <v>17</v>
      </c>
    </row>
    <row r="21" spans="2:9" x14ac:dyDescent="0.2">
      <c r="B21" s="33" t="s">
        <v>110</v>
      </c>
      <c r="C21" s="49" t="s">
        <v>108</v>
      </c>
      <c r="D21" s="49"/>
      <c r="E21" s="49"/>
      <c r="F21" s="49"/>
      <c r="G21" s="31" t="s">
        <v>56</v>
      </c>
      <c r="H21" s="31"/>
      <c r="I21" s="34">
        <v>5</v>
      </c>
    </row>
    <row r="22" spans="2:9" x14ac:dyDescent="0.2">
      <c r="B22" s="33" t="s">
        <v>111</v>
      </c>
      <c r="C22" s="50" t="s">
        <v>117</v>
      </c>
      <c r="D22" s="50"/>
      <c r="E22" s="50"/>
      <c r="F22" s="50"/>
      <c r="G22" s="31" t="s">
        <v>56</v>
      </c>
      <c r="H22" s="31"/>
      <c r="I22" s="34">
        <v>4</v>
      </c>
    </row>
    <row r="23" spans="2:9" x14ac:dyDescent="0.2">
      <c r="B23" s="33" t="s">
        <v>112</v>
      </c>
      <c r="C23" s="49" t="s">
        <v>109</v>
      </c>
      <c r="D23" s="49"/>
      <c r="E23" s="49"/>
      <c r="F23" s="49"/>
      <c r="G23" s="31" t="s">
        <v>56</v>
      </c>
      <c r="H23" s="31"/>
      <c r="I23" s="34">
        <v>2</v>
      </c>
    </row>
    <row r="24" spans="2:9" x14ac:dyDescent="0.2">
      <c r="B24" s="33" t="s">
        <v>113</v>
      </c>
      <c r="C24" s="38" t="s">
        <v>118</v>
      </c>
      <c r="G24" s="31" t="s">
        <v>56</v>
      </c>
      <c r="I24" s="34">
        <v>3</v>
      </c>
    </row>
  </sheetData>
  <mergeCells count="10">
    <mergeCell ref="C21:F21"/>
    <mergeCell ref="C22:F22"/>
    <mergeCell ref="C23:F23"/>
    <mergeCell ref="C15:F15"/>
    <mergeCell ref="C16:F16"/>
    <mergeCell ref="C7:F7"/>
    <mergeCell ref="C8:F8"/>
    <mergeCell ref="C10:F10"/>
    <mergeCell ref="C11:F11"/>
    <mergeCell ref="C14:F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F1DD4-0E0F-43E5-866D-48B4C59ADB24}">
  <dimension ref="A1:Z1020"/>
  <sheetViews>
    <sheetView zoomScale="81" zoomScaleNormal="81" workbookViewId="0">
      <selection activeCell="I20" sqref="I20:I23"/>
    </sheetView>
  </sheetViews>
  <sheetFormatPr baseColWidth="10" defaultColWidth="12.5703125" defaultRowHeight="12.75" x14ac:dyDescent="0.2"/>
  <cols>
    <col min="3" max="3" width="35.140625" customWidth="1"/>
    <col min="4" max="4" width="20.42578125" bestFit="1" customWidth="1"/>
    <col min="5" max="5" width="41.28515625" bestFit="1" customWidth="1"/>
    <col min="6" max="6" width="56.140625" customWidth="1"/>
    <col min="7" max="7" width="29" bestFit="1" customWidth="1"/>
  </cols>
  <sheetData>
    <row r="1" spans="1:26" ht="15.75" customHeight="1" thickBot="1" x14ac:dyDescent="0.25">
      <c r="A1" s="7"/>
      <c r="B1" s="7"/>
      <c r="C1" s="7"/>
      <c r="D1" s="7"/>
      <c r="E1" s="7"/>
      <c r="F1" s="7"/>
      <c r="G1" s="7"/>
      <c r="H1" s="7"/>
      <c r="I1" s="7"/>
      <c r="J1" s="7"/>
      <c r="K1" s="7"/>
      <c r="L1" s="7"/>
      <c r="M1" s="7"/>
      <c r="N1" s="7"/>
      <c r="O1" s="7"/>
      <c r="P1" s="7"/>
      <c r="Q1" s="7"/>
      <c r="R1" s="7"/>
      <c r="S1" s="7"/>
      <c r="T1" s="7"/>
      <c r="U1" s="7"/>
      <c r="V1" s="7"/>
      <c r="W1" s="7"/>
      <c r="X1" s="7"/>
      <c r="Y1" s="7"/>
      <c r="Z1" s="7"/>
    </row>
    <row r="2" spans="1:26" ht="15.75" customHeight="1" thickBot="1" x14ac:dyDescent="0.25">
      <c r="A2" s="7"/>
      <c r="B2" s="7"/>
      <c r="C2" s="7"/>
      <c r="D2" s="7"/>
      <c r="E2" s="7"/>
      <c r="F2" s="7"/>
      <c r="G2" s="7"/>
      <c r="H2" s="7"/>
      <c r="I2" s="7"/>
      <c r="J2" s="7"/>
      <c r="K2" s="7"/>
      <c r="L2" s="7"/>
      <c r="M2" s="7"/>
      <c r="N2" s="7"/>
      <c r="O2" s="7"/>
      <c r="P2" s="7"/>
      <c r="Q2" s="7"/>
      <c r="R2" s="7"/>
      <c r="S2" s="7"/>
      <c r="T2" s="7"/>
      <c r="U2" s="7"/>
      <c r="V2" s="7"/>
      <c r="W2" s="7"/>
      <c r="X2" s="7"/>
      <c r="Y2" s="7"/>
      <c r="Z2" s="7"/>
    </row>
    <row r="3" spans="1:26" ht="15.75" customHeight="1" thickBot="1" x14ac:dyDescent="0.25">
      <c r="A3" s="7"/>
      <c r="B3" s="8" t="s">
        <v>10</v>
      </c>
      <c r="C3" s="8" t="s">
        <v>0</v>
      </c>
      <c r="D3" s="8" t="s">
        <v>1</v>
      </c>
      <c r="E3" s="8" t="s">
        <v>11</v>
      </c>
      <c r="F3" s="8" t="s">
        <v>12</v>
      </c>
      <c r="G3" s="8" t="s">
        <v>4</v>
      </c>
      <c r="H3" s="8" t="s">
        <v>13</v>
      </c>
      <c r="I3" s="8" t="s">
        <v>14</v>
      </c>
      <c r="J3" s="7"/>
      <c r="K3" s="7"/>
      <c r="L3" s="7"/>
      <c r="M3" s="7"/>
      <c r="N3" s="7"/>
      <c r="O3" s="7"/>
      <c r="P3" s="7"/>
      <c r="Q3" s="7"/>
      <c r="R3" s="7"/>
      <c r="S3" s="7"/>
      <c r="T3" s="7"/>
      <c r="U3" s="7"/>
      <c r="V3" s="7"/>
      <c r="W3" s="7"/>
      <c r="X3" s="7"/>
      <c r="Y3" s="7"/>
      <c r="Z3" s="7"/>
    </row>
    <row r="4" spans="1:26" ht="15.75" customHeight="1" thickBot="1" x14ac:dyDescent="0.25">
      <c r="A4" s="7"/>
      <c r="B4" s="9" t="s">
        <v>120</v>
      </c>
      <c r="C4" s="18" t="s">
        <v>137</v>
      </c>
      <c r="D4" s="9" t="s">
        <v>9</v>
      </c>
      <c r="E4" s="18" t="s">
        <v>140</v>
      </c>
      <c r="F4" s="18" t="s">
        <v>143</v>
      </c>
      <c r="G4" s="18"/>
      <c r="H4" s="9" t="s">
        <v>8</v>
      </c>
      <c r="I4" s="9" t="s">
        <v>83</v>
      </c>
      <c r="J4" s="7"/>
      <c r="K4" s="7"/>
      <c r="L4" s="7"/>
      <c r="M4" s="7"/>
      <c r="N4" s="7"/>
      <c r="O4" s="7"/>
      <c r="P4" s="7"/>
      <c r="Q4" s="7"/>
      <c r="R4" s="7"/>
      <c r="S4" s="7"/>
      <c r="T4" s="7"/>
      <c r="U4" s="7"/>
      <c r="V4" s="7"/>
      <c r="W4" s="7"/>
      <c r="X4" s="7"/>
      <c r="Y4" s="7"/>
      <c r="Z4" s="7"/>
    </row>
    <row r="5" spans="1:26" ht="15.75" customHeight="1" thickBot="1" x14ac:dyDescent="0.25">
      <c r="A5" s="7"/>
      <c r="B5" s="7"/>
      <c r="C5" s="11" t="s">
        <v>15</v>
      </c>
      <c r="D5" s="7"/>
      <c r="E5" s="7"/>
      <c r="F5" s="7"/>
      <c r="G5" s="11" t="s">
        <v>16</v>
      </c>
      <c r="H5" s="7"/>
      <c r="I5" s="11" t="s">
        <v>17</v>
      </c>
      <c r="J5" s="7"/>
      <c r="K5" s="7"/>
      <c r="L5" s="7"/>
      <c r="M5" s="7"/>
      <c r="N5" s="7"/>
      <c r="O5" s="7"/>
      <c r="P5" s="7"/>
      <c r="Q5" s="7"/>
      <c r="R5" s="7"/>
      <c r="S5" s="7"/>
      <c r="T5" s="7"/>
      <c r="U5" s="7"/>
      <c r="V5" s="7"/>
      <c r="W5" s="7"/>
      <c r="X5" s="7"/>
      <c r="Y5" s="7"/>
      <c r="Z5" s="7"/>
    </row>
    <row r="6" spans="1:26" ht="15.75" customHeight="1" thickBot="1" x14ac:dyDescent="0.25">
      <c r="A6" s="7"/>
      <c r="B6" s="16" t="s">
        <v>121</v>
      </c>
      <c r="C6" s="42" t="s">
        <v>148</v>
      </c>
      <c r="D6" s="20"/>
      <c r="E6" s="20"/>
      <c r="F6" s="21"/>
      <c r="G6" s="7" t="s">
        <v>56</v>
      </c>
      <c r="H6" s="7"/>
      <c r="I6" s="13">
        <v>4</v>
      </c>
      <c r="J6" s="7"/>
      <c r="K6" s="7"/>
      <c r="L6" s="7"/>
      <c r="M6" s="7"/>
      <c r="N6" s="7"/>
      <c r="O6" s="7"/>
      <c r="P6" s="7"/>
      <c r="Q6" s="7"/>
      <c r="R6" s="7"/>
      <c r="S6" s="7"/>
      <c r="T6" s="7"/>
      <c r="U6" s="7"/>
      <c r="V6" s="7"/>
      <c r="W6" s="7"/>
      <c r="X6" s="7"/>
      <c r="Y6" s="7"/>
      <c r="Z6" s="7"/>
    </row>
    <row r="7" spans="1:26" ht="15.75" customHeight="1" thickBot="1" x14ac:dyDescent="0.25">
      <c r="A7" s="7"/>
      <c r="B7" s="16" t="s">
        <v>122</v>
      </c>
      <c r="C7" s="42" t="s">
        <v>149</v>
      </c>
      <c r="D7" s="20"/>
      <c r="E7" s="20"/>
      <c r="F7" s="21"/>
      <c r="G7" s="7" t="s">
        <v>56</v>
      </c>
      <c r="H7" s="7"/>
      <c r="I7" s="13">
        <v>4</v>
      </c>
      <c r="J7" s="7"/>
      <c r="K7" s="7"/>
      <c r="L7" s="7"/>
      <c r="M7" s="7"/>
      <c r="N7" s="7"/>
      <c r="O7" s="7"/>
      <c r="P7" s="7"/>
      <c r="Q7" s="7"/>
      <c r="R7" s="7"/>
      <c r="S7" s="7"/>
      <c r="T7" s="7"/>
      <c r="U7" s="7"/>
      <c r="V7" s="7"/>
      <c r="W7" s="7"/>
      <c r="X7" s="7"/>
      <c r="Y7" s="7"/>
      <c r="Z7" s="7"/>
    </row>
    <row r="8" spans="1:26" ht="15.75" customHeight="1" thickBot="1" x14ac:dyDescent="0.25">
      <c r="A8" s="7"/>
      <c r="B8" s="16" t="s">
        <v>123</v>
      </c>
      <c r="C8" s="42" t="s">
        <v>150</v>
      </c>
      <c r="D8" s="20"/>
      <c r="E8" s="20"/>
      <c r="F8" s="21"/>
      <c r="G8" s="7" t="s">
        <v>56</v>
      </c>
      <c r="H8" s="7"/>
      <c r="I8" s="13">
        <v>2</v>
      </c>
      <c r="J8" s="7"/>
      <c r="K8" s="7"/>
      <c r="L8" s="7"/>
      <c r="M8" s="7"/>
      <c r="N8" s="7"/>
      <c r="O8" s="7"/>
      <c r="P8" s="7"/>
      <c r="Q8" s="7"/>
      <c r="R8" s="7"/>
      <c r="S8" s="7"/>
      <c r="T8" s="7"/>
      <c r="U8" s="7"/>
      <c r="V8" s="7"/>
      <c r="W8" s="7"/>
      <c r="X8" s="7"/>
      <c r="Y8" s="7"/>
      <c r="Z8" s="7"/>
    </row>
    <row r="9" spans="1:26" ht="15.75" customHeight="1" thickBot="1" x14ac:dyDescent="0.25">
      <c r="A9" s="7"/>
      <c r="B9" s="16" t="s">
        <v>124</v>
      </c>
      <c r="C9" s="42" t="s">
        <v>151</v>
      </c>
      <c r="D9" s="17"/>
      <c r="E9" s="17"/>
      <c r="F9" s="17"/>
      <c r="G9" s="7" t="s">
        <v>56</v>
      </c>
      <c r="H9" s="7"/>
      <c r="I9" s="13">
        <v>2</v>
      </c>
      <c r="J9" s="7"/>
      <c r="K9" s="7"/>
      <c r="L9" s="7"/>
      <c r="M9" s="7"/>
      <c r="N9" s="7"/>
      <c r="O9" s="7"/>
      <c r="P9" s="7"/>
      <c r="Q9" s="7"/>
      <c r="R9" s="7"/>
      <c r="S9" s="7"/>
      <c r="T9" s="7"/>
      <c r="U9" s="7"/>
      <c r="V9" s="7"/>
      <c r="W9" s="7"/>
      <c r="X9" s="7"/>
      <c r="Y9" s="7"/>
      <c r="Z9" s="7"/>
    </row>
    <row r="10" spans="1:26" ht="15.75" customHeight="1" thickBot="1" x14ac:dyDescent="0.25">
      <c r="A10" s="7"/>
      <c r="B10" s="8"/>
      <c r="C10" s="8"/>
      <c r="D10" s="8"/>
      <c r="E10" s="8"/>
      <c r="F10" s="8"/>
      <c r="G10" s="8"/>
      <c r="H10" s="8"/>
      <c r="I10" s="8"/>
      <c r="J10" s="7"/>
      <c r="K10" s="7"/>
      <c r="L10" s="7"/>
      <c r="M10" s="7"/>
      <c r="N10" s="7"/>
      <c r="O10" s="7"/>
      <c r="P10" s="7"/>
      <c r="Q10" s="7"/>
      <c r="R10" s="7"/>
      <c r="S10" s="7"/>
      <c r="T10" s="7"/>
      <c r="U10" s="7"/>
      <c r="V10" s="7"/>
      <c r="W10" s="7"/>
      <c r="X10" s="7"/>
      <c r="Y10" s="7"/>
      <c r="Z10" s="7"/>
    </row>
    <row r="11" spans="1:26" ht="15.75" customHeight="1" thickBot="1" x14ac:dyDescent="0.25">
      <c r="A11" s="7"/>
      <c r="B11" s="9" t="s">
        <v>125</v>
      </c>
      <c r="C11" s="18" t="s">
        <v>136</v>
      </c>
      <c r="D11" s="9" t="s">
        <v>9</v>
      </c>
      <c r="E11" s="18" t="s">
        <v>139</v>
      </c>
      <c r="F11" s="18" t="s">
        <v>142</v>
      </c>
      <c r="G11" s="9"/>
      <c r="H11" s="9" t="s">
        <v>8</v>
      </c>
      <c r="I11" s="9" t="s">
        <v>83</v>
      </c>
      <c r="J11" s="7"/>
      <c r="K11" s="15"/>
      <c r="L11" s="22"/>
      <c r="M11" s="23"/>
      <c r="N11" s="23"/>
      <c r="O11" s="24"/>
      <c r="P11" s="7"/>
      <c r="Q11" s="7"/>
      <c r="R11" s="7"/>
      <c r="S11" s="7"/>
      <c r="T11" s="7"/>
      <c r="U11" s="7"/>
      <c r="V11" s="7"/>
      <c r="W11" s="7"/>
      <c r="X11" s="7"/>
      <c r="Y11" s="7"/>
      <c r="Z11" s="7"/>
    </row>
    <row r="12" spans="1:26" ht="15.75" customHeight="1" thickBot="1" x14ac:dyDescent="0.25">
      <c r="A12" s="7"/>
      <c r="B12" s="7"/>
      <c r="C12" s="11" t="s">
        <v>15</v>
      </c>
      <c r="D12" s="7"/>
      <c r="E12" s="7"/>
      <c r="F12" s="7"/>
      <c r="G12" s="11" t="s">
        <v>16</v>
      </c>
      <c r="H12" s="7"/>
      <c r="I12" s="11" t="s">
        <v>17</v>
      </c>
      <c r="J12" s="7"/>
      <c r="K12" s="15"/>
      <c r="L12" s="22"/>
      <c r="M12" s="23"/>
      <c r="N12" s="23"/>
      <c r="O12" s="24"/>
      <c r="P12" s="7"/>
      <c r="Q12" s="7"/>
      <c r="R12" s="7"/>
      <c r="S12" s="7"/>
      <c r="T12" s="7"/>
      <c r="U12" s="7"/>
      <c r="V12" s="7"/>
      <c r="W12" s="7"/>
      <c r="X12" s="7"/>
      <c r="Y12" s="7"/>
      <c r="Z12" s="7"/>
    </row>
    <row r="13" spans="1:26" ht="15.75" customHeight="1" thickBot="1" x14ac:dyDescent="0.25">
      <c r="A13" s="7"/>
      <c r="B13" s="16" t="s">
        <v>126</v>
      </c>
      <c r="C13" s="42" t="s">
        <v>152</v>
      </c>
      <c r="D13" s="20"/>
      <c r="E13" s="20"/>
      <c r="F13" s="21"/>
      <c r="G13" s="7" t="s">
        <v>70</v>
      </c>
      <c r="H13" s="7"/>
      <c r="I13" s="13">
        <v>5</v>
      </c>
      <c r="J13" s="7"/>
      <c r="K13" s="15"/>
      <c r="L13" s="22"/>
      <c r="M13" s="23"/>
      <c r="N13" s="23"/>
      <c r="O13" s="24"/>
      <c r="P13" s="7"/>
      <c r="Q13" s="7"/>
      <c r="R13" s="7"/>
      <c r="S13" s="7"/>
      <c r="T13" s="7"/>
      <c r="U13" s="7"/>
      <c r="V13" s="7"/>
      <c r="W13" s="7"/>
      <c r="X13" s="7"/>
      <c r="Y13" s="7"/>
      <c r="Z13" s="7"/>
    </row>
    <row r="14" spans="1:26" ht="15.75" customHeight="1" thickBot="1" x14ac:dyDescent="0.25">
      <c r="A14" s="7"/>
      <c r="B14" s="16" t="s">
        <v>127</v>
      </c>
      <c r="C14" s="42" t="s">
        <v>153</v>
      </c>
      <c r="D14" s="20"/>
      <c r="E14" s="20"/>
      <c r="F14" s="21"/>
      <c r="G14" s="7" t="s">
        <v>70</v>
      </c>
      <c r="H14" s="7"/>
      <c r="I14" s="36">
        <v>4</v>
      </c>
      <c r="J14" s="7"/>
      <c r="K14" s="15"/>
      <c r="L14" s="22"/>
      <c r="M14" s="23"/>
      <c r="N14" s="23"/>
      <c r="O14" s="24"/>
      <c r="P14" s="7"/>
      <c r="Q14" s="7"/>
      <c r="R14" s="7"/>
      <c r="S14" s="7"/>
      <c r="T14" s="7"/>
      <c r="U14" s="7"/>
      <c r="V14" s="7"/>
      <c r="W14" s="7"/>
      <c r="X14" s="7"/>
      <c r="Y14" s="7"/>
      <c r="Z14" s="7"/>
    </row>
    <row r="15" spans="1:26" ht="15.75" customHeight="1" thickBot="1" x14ac:dyDescent="0.25">
      <c r="A15" s="7"/>
      <c r="B15" s="16" t="s">
        <v>128</v>
      </c>
      <c r="C15" s="42" t="s">
        <v>154</v>
      </c>
      <c r="D15" s="20"/>
      <c r="E15" s="20"/>
      <c r="F15" s="21"/>
      <c r="G15" s="7" t="s">
        <v>70</v>
      </c>
      <c r="H15" s="7"/>
      <c r="I15" s="37">
        <v>3</v>
      </c>
      <c r="J15" s="13"/>
      <c r="K15" s="15"/>
      <c r="L15" s="22"/>
      <c r="M15" s="23"/>
      <c r="N15" s="23"/>
      <c r="O15" s="24"/>
      <c r="P15" s="7"/>
      <c r="Q15" s="7"/>
      <c r="R15" s="7"/>
      <c r="S15" s="7"/>
      <c r="T15" s="7"/>
      <c r="U15" s="7"/>
      <c r="V15" s="7"/>
      <c r="W15" s="7"/>
      <c r="X15" s="7"/>
      <c r="Y15" s="7"/>
      <c r="Z15" s="7"/>
    </row>
    <row r="16" spans="1:26" ht="15.75" customHeight="1" thickBot="1" x14ac:dyDescent="0.25">
      <c r="A16" s="7"/>
      <c r="B16" s="16" t="s">
        <v>129</v>
      </c>
      <c r="C16" s="42" t="s">
        <v>155</v>
      </c>
      <c r="D16" s="17"/>
      <c r="E16" s="17"/>
      <c r="F16" s="17"/>
      <c r="G16" s="7" t="s">
        <v>70</v>
      </c>
      <c r="H16" s="7"/>
      <c r="I16" s="13">
        <v>2</v>
      </c>
      <c r="J16" s="7"/>
      <c r="K16" s="15"/>
      <c r="L16" s="22"/>
      <c r="M16" s="23"/>
      <c r="N16" s="23"/>
      <c r="O16" s="24"/>
      <c r="P16" s="7"/>
      <c r="Q16" s="7"/>
      <c r="R16" s="7"/>
      <c r="S16" s="7"/>
      <c r="T16" s="7"/>
      <c r="U16" s="7"/>
      <c r="V16" s="7"/>
      <c r="W16" s="7"/>
      <c r="X16" s="7"/>
      <c r="Y16" s="7"/>
      <c r="Z16" s="7"/>
    </row>
    <row r="17" spans="1:26" ht="15.75" customHeight="1" thickBot="1" x14ac:dyDescent="0.25">
      <c r="A17" s="7"/>
      <c r="B17" s="8"/>
      <c r="C17" s="8"/>
      <c r="D17" s="8"/>
      <c r="E17" s="8"/>
      <c r="F17" s="8"/>
      <c r="G17" s="8"/>
      <c r="H17" s="8"/>
      <c r="I17" s="8"/>
      <c r="J17" s="7"/>
      <c r="K17" s="7"/>
      <c r="L17" s="7"/>
      <c r="M17" s="7"/>
      <c r="N17" s="7"/>
      <c r="O17" s="7"/>
      <c r="P17" s="7"/>
      <c r="Q17" s="7"/>
      <c r="R17" s="7"/>
      <c r="S17" s="7"/>
      <c r="T17" s="7"/>
      <c r="U17" s="7"/>
      <c r="V17" s="7"/>
      <c r="W17" s="7"/>
      <c r="X17" s="7"/>
      <c r="Y17" s="7"/>
      <c r="Z17" s="7"/>
    </row>
    <row r="18" spans="1:26" ht="15.75" customHeight="1" thickBot="1" x14ac:dyDescent="0.25">
      <c r="A18" s="7"/>
      <c r="B18" s="9" t="s">
        <v>130</v>
      </c>
      <c r="C18" s="18" t="s">
        <v>135</v>
      </c>
      <c r="D18" s="9" t="s">
        <v>9</v>
      </c>
      <c r="E18" s="18" t="s">
        <v>138</v>
      </c>
      <c r="F18" s="18" t="s">
        <v>141</v>
      </c>
      <c r="G18" s="9"/>
      <c r="H18" s="9" t="s">
        <v>8</v>
      </c>
      <c r="I18" s="9" t="s">
        <v>83</v>
      </c>
      <c r="J18" s="7"/>
      <c r="K18" s="10"/>
      <c r="L18" s="10"/>
      <c r="M18" s="10"/>
      <c r="N18" s="10"/>
      <c r="O18" s="10"/>
      <c r="P18" s="10"/>
      <c r="Q18" s="10"/>
      <c r="R18" s="10"/>
      <c r="S18" s="7"/>
      <c r="T18" s="7"/>
      <c r="U18" s="7"/>
      <c r="V18" s="7"/>
      <c r="W18" s="7"/>
      <c r="X18" s="7"/>
      <c r="Y18" s="7"/>
      <c r="Z18" s="7"/>
    </row>
    <row r="19" spans="1:26" ht="15.75" customHeight="1" thickBot="1" x14ac:dyDescent="0.25">
      <c r="A19" s="7"/>
      <c r="B19" s="7"/>
      <c r="C19" s="11" t="s">
        <v>15</v>
      </c>
      <c r="D19" s="7"/>
      <c r="E19" s="7"/>
      <c r="F19" s="7"/>
      <c r="G19" s="11" t="s">
        <v>16</v>
      </c>
      <c r="H19" s="7"/>
      <c r="I19" s="11" t="s">
        <v>17</v>
      </c>
      <c r="J19" s="7"/>
      <c r="K19" s="7"/>
      <c r="L19" s="7"/>
      <c r="M19" s="7"/>
      <c r="N19" s="7"/>
      <c r="O19" s="7"/>
      <c r="P19" s="7"/>
      <c r="Q19" s="7"/>
      <c r="R19" s="7"/>
      <c r="S19" s="7"/>
      <c r="T19" s="7"/>
      <c r="U19" s="7"/>
      <c r="V19" s="7"/>
      <c r="W19" s="7"/>
      <c r="X19" s="7"/>
      <c r="Y19" s="7"/>
      <c r="Z19" s="7"/>
    </row>
    <row r="20" spans="1:26" ht="15.75" customHeight="1" thickBot="1" x14ac:dyDescent="0.25">
      <c r="A20" s="7"/>
      <c r="B20" s="12" t="s">
        <v>131</v>
      </c>
      <c r="C20" s="42" t="s">
        <v>144</v>
      </c>
      <c r="D20" s="20"/>
      <c r="E20" s="20"/>
      <c r="F20" s="21"/>
      <c r="G20" s="7" t="s">
        <v>70</v>
      </c>
      <c r="H20" s="7"/>
      <c r="I20" s="13">
        <v>4</v>
      </c>
      <c r="J20" s="7"/>
      <c r="K20" s="7"/>
      <c r="L20" s="43"/>
      <c r="M20" s="44"/>
      <c r="N20" s="44"/>
      <c r="O20" s="45"/>
      <c r="P20" s="7"/>
      <c r="Q20" s="7"/>
      <c r="R20" s="7"/>
      <c r="S20" s="7"/>
      <c r="T20" s="7"/>
      <c r="U20" s="7"/>
      <c r="V20" s="7"/>
      <c r="W20" s="7"/>
      <c r="X20" s="7"/>
      <c r="Y20" s="7"/>
      <c r="Z20" s="7"/>
    </row>
    <row r="21" spans="1:26" ht="15.75" customHeight="1" thickBot="1" x14ac:dyDescent="0.25">
      <c r="A21" s="7"/>
      <c r="B21" s="12" t="s">
        <v>132</v>
      </c>
      <c r="C21" s="42" t="s">
        <v>145</v>
      </c>
      <c r="D21" s="20"/>
      <c r="E21" s="20"/>
      <c r="F21" s="21"/>
      <c r="G21" s="7" t="s">
        <v>70</v>
      </c>
      <c r="H21" s="7"/>
      <c r="I21" s="13">
        <v>5</v>
      </c>
      <c r="J21" s="7"/>
      <c r="K21" s="7"/>
      <c r="L21" s="43"/>
      <c r="M21" s="44"/>
      <c r="N21" s="44"/>
      <c r="O21" s="45"/>
      <c r="P21" s="7"/>
      <c r="Q21" s="7"/>
      <c r="R21" s="7"/>
      <c r="S21" s="7"/>
      <c r="T21" s="7"/>
      <c r="U21" s="7"/>
      <c r="V21" s="7"/>
      <c r="W21" s="7"/>
      <c r="X21" s="7"/>
      <c r="Y21" s="7"/>
      <c r="Z21" s="7"/>
    </row>
    <row r="22" spans="1:26" ht="15.75" customHeight="1" thickBot="1" x14ac:dyDescent="0.25">
      <c r="A22" s="7"/>
      <c r="B22" s="12" t="s">
        <v>133</v>
      </c>
      <c r="C22" s="42" t="s">
        <v>146</v>
      </c>
      <c r="D22" s="20"/>
      <c r="E22" s="20"/>
      <c r="F22" s="21"/>
      <c r="G22" s="7" t="s">
        <v>70</v>
      </c>
      <c r="H22" s="7"/>
      <c r="I22" s="13">
        <v>3</v>
      </c>
      <c r="J22" s="7"/>
      <c r="K22" s="7"/>
      <c r="L22" s="43"/>
      <c r="M22" s="44"/>
      <c r="N22" s="44"/>
      <c r="O22" s="45"/>
      <c r="P22" s="7"/>
      <c r="Q22" s="7"/>
      <c r="R22" s="7"/>
      <c r="S22" s="7"/>
      <c r="T22" s="7"/>
      <c r="U22" s="7"/>
      <c r="V22" s="7"/>
      <c r="W22" s="7"/>
      <c r="X22" s="7"/>
      <c r="Y22" s="7"/>
      <c r="Z22" s="7"/>
    </row>
    <row r="23" spans="1:26" ht="15.75" customHeight="1" thickBot="1" x14ac:dyDescent="0.25">
      <c r="A23" s="7"/>
      <c r="B23" s="12" t="s">
        <v>134</v>
      </c>
      <c r="C23" s="42" t="s">
        <v>147</v>
      </c>
      <c r="D23" s="20"/>
      <c r="E23" s="20"/>
      <c r="F23" s="21"/>
      <c r="G23" s="7" t="s">
        <v>70</v>
      </c>
      <c r="H23" s="7"/>
      <c r="I23" s="13">
        <v>2</v>
      </c>
      <c r="J23" s="7"/>
      <c r="K23" s="15"/>
      <c r="L23" s="43"/>
      <c r="M23" s="44"/>
      <c r="N23" s="44"/>
      <c r="O23" s="45"/>
      <c r="P23" s="7"/>
      <c r="Q23" s="7"/>
      <c r="R23" s="7"/>
      <c r="S23" s="7"/>
      <c r="T23" s="7"/>
      <c r="U23" s="7"/>
      <c r="V23" s="7"/>
      <c r="W23" s="7"/>
      <c r="X23" s="7"/>
      <c r="Y23" s="7"/>
      <c r="Z23" s="7"/>
    </row>
    <row r="24" spans="1:26" ht="15.75" customHeight="1" thickBot="1" x14ac:dyDescent="0.25">
      <c r="A24" s="7"/>
      <c r="B24" s="14"/>
      <c r="C24" s="19"/>
      <c r="D24" s="20"/>
      <c r="E24" s="20"/>
      <c r="F24" s="21"/>
      <c r="G24" s="7"/>
      <c r="H24" s="7"/>
      <c r="I24" s="13"/>
      <c r="J24" s="7"/>
      <c r="K24" s="15"/>
      <c r="L24" s="22"/>
      <c r="M24" s="23"/>
      <c r="N24" s="23"/>
      <c r="O24" s="24"/>
      <c r="P24" s="7"/>
      <c r="Q24" s="7"/>
      <c r="R24" s="7"/>
      <c r="S24" s="7"/>
      <c r="T24" s="7"/>
      <c r="U24" s="7"/>
      <c r="V24" s="7"/>
      <c r="W24" s="7"/>
      <c r="X24" s="7"/>
      <c r="Y24" s="7"/>
      <c r="Z24" s="7"/>
    </row>
    <row r="25" spans="1:26" ht="13.5" thickBot="1" x14ac:dyDescent="0.25">
      <c r="A25" s="16"/>
      <c r="B25" s="16"/>
      <c r="C25" s="16"/>
      <c r="D25" s="16"/>
      <c r="E25" s="16"/>
      <c r="F25" s="16"/>
      <c r="G25" s="16"/>
      <c r="H25" s="16"/>
      <c r="I25" s="16"/>
      <c r="J25" s="16"/>
      <c r="K25" s="16"/>
      <c r="L25" s="16"/>
      <c r="M25" s="16"/>
      <c r="N25" s="16"/>
      <c r="O25" s="16"/>
      <c r="P25" s="16"/>
      <c r="Q25" s="16"/>
      <c r="R25" s="16"/>
      <c r="S25" s="16"/>
      <c r="T25" s="16"/>
    </row>
    <row r="26" spans="1:26" ht="13.5" thickBot="1" x14ac:dyDescent="0.25">
      <c r="A26" s="16"/>
      <c r="B26" s="16"/>
      <c r="C26" s="16"/>
      <c r="D26" s="16"/>
      <c r="E26" s="16"/>
      <c r="F26" s="16"/>
      <c r="G26" s="16"/>
      <c r="H26" s="16"/>
      <c r="I26" s="16"/>
      <c r="J26" s="16"/>
      <c r="K26" s="16"/>
      <c r="L26" s="16"/>
      <c r="M26" s="16"/>
      <c r="N26" s="16"/>
      <c r="O26" s="16"/>
      <c r="P26" s="16"/>
      <c r="Q26" s="16"/>
      <c r="R26" s="16"/>
      <c r="S26" s="16"/>
      <c r="T26" s="16"/>
    </row>
    <row r="27" spans="1:26" ht="13.5" thickBot="1" x14ac:dyDescent="0.25">
      <c r="A27" s="16"/>
      <c r="B27" s="16"/>
      <c r="C27" s="16"/>
      <c r="D27" s="16"/>
      <c r="E27" s="16"/>
      <c r="F27" s="16"/>
      <c r="G27" s="16"/>
      <c r="H27" s="16"/>
      <c r="I27" s="16"/>
      <c r="J27" s="16"/>
      <c r="K27" s="16"/>
      <c r="L27" s="16"/>
      <c r="M27" s="16"/>
      <c r="N27" s="16"/>
      <c r="O27" s="16"/>
      <c r="P27" s="16"/>
      <c r="Q27" s="16"/>
      <c r="R27" s="16"/>
      <c r="S27" s="16"/>
      <c r="T27" s="16"/>
    </row>
    <row r="28" spans="1:26" ht="13.5" thickBot="1" x14ac:dyDescent="0.25">
      <c r="A28" s="16"/>
      <c r="B28" s="16"/>
      <c r="C28" s="16"/>
      <c r="D28" s="16"/>
      <c r="E28" s="16"/>
      <c r="F28" s="16"/>
      <c r="G28" s="16"/>
      <c r="H28" s="16"/>
      <c r="I28" s="16"/>
      <c r="J28" s="16"/>
      <c r="K28" s="16"/>
      <c r="L28" s="16"/>
      <c r="M28" s="16"/>
      <c r="N28" s="16"/>
      <c r="O28" s="16"/>
      <c r="P28" s="16"/>
      <c r="Q28" s="16"/>
      <c r="R28" s="16"/>
      <c r="S28" s="16"/>
      <c r="T28" s="16"/>
    </row>
    <row r="29" spans="1:26" ht="13.5" thickBot="1" x14ac:dyDescent="0.25">
      <c r="A29" s="16"/>
      <c r="B29" s="16"/>
      <c r="C29" s="16"/>
      <c r="D29" s="16"/>
      <c r="E29" s="16"/>
      <c r="F29" s="16"/>
      <c r="G29" s="16"/>
      <c r="H29" s="16"/>
      <c r="I29" s="16"/>
      <c r="J29" s="16"/>
      <c r="K29" s="16"/>
      <c r="L29" s="16"/>
      <c r="M29" s="16"/>
      <c r="N29" s="16"/>
      <c r="O29" s="16"/>
      <c r="P29" s="16"/>
      <c r="Q29" s="16"/>
      <c r="R29" s="16"/>
      <c r="S29" s="16"/>
      <c r="T29" s="16"/>
    </row>
    <row r="30" spans="1:26" ht="13.5" thickBot="1" x14ac:dyDescent="0.25">
      <c r="A30" s="16"/>
      <c r="B30" s="16"/>
      <c r="C30" s="16"/>
      <c r="D30" s="16"/>
      <c r="E30" s="16"/>
      <c r="F30" s="16"/>
      <c r="G30" s="16"/>
      <c r="H30" s="16"/>
      <c r="I30" s="16"/>
      <c r="J30" s="16"/>
      <c r="K30" s="16"/>
      <c r="L30" s="16"/>
      <c r="M30" s="16"/>
      <c r="N30" s="16"/>
      <c r="O30" s="16"/>
      <c r="P30" s="16"/>
      <c r="Q30" s="16"/>
      <c r="R30" s="16"/>
      <c r="S30" s="16"/>
      <c r="T30" s="16"/>
    </row>
    <row r="31" spans="1:26" ht="15.75" customHeight="1" thickBot="1" x14ac:dyDescent="0.25">
      <c r="A31" s="7"/>
      <c r="B31" s="16"/>
      <c r="C31" s="41"/>
      <c r="D31" s="17"/>
      <c r="E31" s="17"/>
      <c r="F31" s="17"/>
      <c r="G31" s="7"/>
      <c r="H31" s="7"/>
      <c r="I31" s="13"/>
      <c r="J31" s="7"/>
      <c r="K31" s="15"/>
      <c r="L31" s="22"/>
      <c r="M31" s="23"/>
      <c r="N31" s="23"/>
      <c r="O31" s="24"/>
      <c r="P31" s="7"/>
      <c r="Q31" s="7"/>
      <c r="R31" s="7"/>
      <c r="S31" s="7"/>
      <c r="T31" s="7"/>
      <c r="U31" s="7"/>
      <c r="V31" s="7"/>
      <c r="W31" s="7"/>
      <c r="X31" s="7"/>
      <c r="Y31" s="7"/>
      <c r="Z31" s="7"/>
    </row>
    <row r="32" spans="1:26" ht="15.75" customHeight="1" thickBot="1" x14ac:dyDescent="0.25">
      <c r="A32" s="7"/>
      <c r="B32" s="16"/>
      <c r="C32" s="41"/>
      <c r="D32" s="17"/>
      <c r="E32" s="17"/>
      <c r="F32" s="17"/>
      <c r="G32" s="7"/>
      <c r="H32" s="7"/>
      <c r="I32" s="13"/>
      <c r="J32" s="7"/>
      <c r="K32" s="15"/>
      <c r="L32" s="22"/>
      <c r="M32" s="23"/>
      <c r="N32" s="23"/>
      <c r="O32" s="24"/>
      <c r="P32" s="7"/>
      <c r="Q32" s="7"/>
      <c r="R32" s="7"/>
      <c r="S32" s="7"/>
      <c r="T32" s="7"/>
      <c r="U32" s="7"/>
      <c r="V32" s="7"/>
      <c r="W32" s="7"/>
      <c r="X32" s="7"/>
      <c r="Y32" s="7"/>
      <c r="Z32" s="7"/>
    </row>
    <row r="33" spans="1:26" ht="15.75" customHeight="1" thickBot="1" x14ac:dyDescent="0.25">
      <c r="A33" s="7"/>
      <c r="B33" s="16"/>
      <c r="C33" s="41"/>
      <c r="D33" s="17"/>
      <c r="E33" s="17"/>
      <c r="F33" s="17"/>
      <c r="G33" s="7"/>
      <c r="H33" s="7"/>
      <c r="I33" s="13"/>
      <c r="J33" s="7"/>
      <c r="K33" s="15"/>
      <c r="L33" s="22"/>
      <c r="M33" s="23"/>
      <c r="N33" s="23"/>
      <c r="O33" s="24"/>
      <c r="P33" s="7"/>
      <c r="Q33" s="7"/>
      <c r="R33" s="7"/>
      <c r="S33" s="7"/>
      <c r="T33" s="7"/>
      <c r="U33" s="7"/>
      <c r="V33" s="7"/>
      <c r="W33" s="7"/>
      <c r="X33" s="7"/>
      <c r="Y33" s="7"/>
      <c r="Z33" s="7"/>
    </row>
    <row r="34" spans="1:26" ht="15.75" customHeight="1" thickBot="1" x14ac:dyDescent="0.25">
      <c r="A34" s="7"/>
      <c r="B34" s="16"/>
      <c r="C34" s="41"/>
      <c r="D34" s="17"/>
      <c r="E34" s="17"/>
      <c r="F34" s="17"/>
      <c r="G34" s="7"/>
      <c r="H34" s="7"/>
      <c r="I34" s="13"/>
      <c r="J34" s="7"/>
      <c r="K34" s="15"/>
      <c r="L34" s="22"/>
      <c r="M34" s="23"/>
      <c r="N34" s="23"/>
      <c r="O34" s="24"/>
      <c r="P34" s="7"/>
      <c r="Q34" s="7"/>
      <c r="R34" s="7"/>
      <c r="S34" s="7"/>
      <c r="T34" s="7"/>
      <c r="U34" s="7"/>
      <c r="V34" s="7"/>
      <c r="W34" s="7"/>
      <c r="X34" s="7"/>
      <c r="Y34" s="7"/>
      <c r="Z34" s="7"/>
    </row>
    <row r="35" spans="1:26" ht="15.75" customHeight="1" thickBot="1" x14ac:dyDescent="0.25">
      <c r="A35" s="7"/>
      <c r="B35" s="16"/>
      <c r="C35" s="41"/>
      <c r="D35" s="17"/>
      <c r="E35" s="17"/>
      <c r="F35" s="17"/>
      <c r="G35" s="7"/>
      <c r="H35" s="7"/>
      <c r="I35" s="13"/>
      <c r="J35" s="7"/>
      <c r="K35" s="15"/>
      <c r="L35" s="22"/>
      <c r="M35" s="23"/>
      <c r="N35" s="23"/>
      <c r="O35" s="24"/>
      <c r="P35" s="7"/>
      <c r="Q35" s="7"/>
      <c r="R35" s="7"/>
      <c r="S35" s="7"/>
      <c r="T35" s="7"/>
      <c r="U35" s="7"/>
      <c r="V35" s="7"/>
      <c r="W35" s="7"/>
      <c r="X35" s="7"/>
      <c r="Y35" s="7"/>
      <c r="Z35" s="7"/>
    </row>
    <row r="36" spans="1:26" ht="15.75" customHeight="1" thickBot="1" x14ac:dyDescent="0.25">
      <c r="A36" s="7"/>
      <c r="B36" s="16"/>
      <c r="C36" s="41"/>
      <c r="D36" s="17"/>
      <c r="E36" s="17"/>
      <c r="F36" s="17"/>
      <c r="G36" s="7"/>
      <c r="H36" s="7"/>
      <c r="I36" s="13"/>
      <c r="J36" s="7"/>
      <c r="K36" s="15"/>
      <c r="L36" s="22"/>
      <c r="M36" s="23"/>
      <c r="N36" s="23"/>
      <c r="O36" s="24"/>
      <c r="P36" s="7"/>
      <c r="Q36" s="7"/>
      <c r="R36" s="7"/>
      <c r="S36" s="7"/>
      <c r="T36" s="7"/>
      <c r="U36" s="7"/>
      <c r="V36" s="7"/>
      <c r="W36" s="7"/>
      <c r="X36" s="7"/>
      <c r="Y36" s="7"/>
      <c r="Z36" s="7"/>
    </row>
    <row r="37" spans="1:26" ht="15.75" customHeight="1" thickBot="1"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43" spans="1:26" ht="13.5" thickBot="1" x14ac:dyDescent="0.25"/>
    <row r="44" spans="1:26" ht="15.75" customHeight="1" thickBot="1"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thickBot="1"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thickBo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thickBo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thickBo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thickBo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thickBo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thickBo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thickBo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thickBo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thickBo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thickBo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thickBo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thickBo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thickBo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thickBo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thickBo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thickBo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thickBo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thickBo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thickBo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thickBo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thickBo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thickBo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thickBo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thickBo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thickBo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thickBo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thickBo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thickBo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thickBo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thickBo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thickBo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thickBo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thickBo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thickBo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thickBo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thickBo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thickBo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thickBo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thickBo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thickBo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thickBo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thickBo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thickBo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thickBo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thickBo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thickBo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thickBo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thickBo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thickBo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thickBo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thickBo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thickBo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thickBo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thickBo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thickBo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thickBo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thickBo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thickBo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thickBo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thickBo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thickBo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thickBo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thickBo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thickBo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thickBo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thickBo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thickBo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thickBo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thickBo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thickBo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thickBo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thickBo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thickBo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thickBo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thickBo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thickBo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thickBo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thickBo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thickBo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thickBo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thickBo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thickBo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thickBo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thickBo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thickBo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thickBo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thickBo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thickBo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thickBo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thickBo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thickBo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thickBo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thickBo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thickBo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thickBo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thickBo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thickBo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thickBo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thickBo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thickBo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thickBo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thickBo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thickBo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thickBo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thickBo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thickBo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thickBo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thickBo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thickBo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thickBo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thickBo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thickBo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thickBo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thickBo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thickBo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thickBo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thickBo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thickBo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thickBo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thickBo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thickBo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thickBo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thickBo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thickBo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thickBo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thickBo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thickBo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thickBo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thickBo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thickBo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thickBo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thickBo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thickBo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thickBo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thickBo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thickBo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thickBo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thickBo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thickBo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thickBo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thickBo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thickBo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thickBo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thickBo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thickBo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thickBo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thickBo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thickBo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thickBo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thickBo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thickBo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thickBo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thickBo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thickBo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thickBo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thickBo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thickBo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thickBo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thickBo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thickBo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thickBo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thickBo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thickBo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thickBo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thickBo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thickBo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thickBo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thickBo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thickBo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thickBo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thickBo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thickBo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thickBo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thickBo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thickBo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thickBo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thickBo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thickBo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thickBo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thickBo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thickBo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thickBo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thickBo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thickBo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thickBo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thickBo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thickBo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thickBo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thickBo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thickBo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thickBo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thickBo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thickBo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thickBo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thickBo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thickBo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thickBo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thickBo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thickBo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thickBo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thickBo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thickBo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thickBo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thickBo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thickBo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thickBo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thickBo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thickBo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thickBo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thickBo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thickBo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thickBo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thickBo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thickBo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thickBo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thickBo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thickBo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thickBo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thickBo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thickBo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thickBo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thickBo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thickBo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thickBo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thickBo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thickBo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thickBo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thickBo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thickBo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thickBo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thickBo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thickBo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thickBo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thickBo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thickBo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thickBo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thickBo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thickBo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thickBo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thickBo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thickBo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thickBo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thickBo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thickBo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thickBo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thickBo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thickBo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thickBo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thickBo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thickBo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thickBo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thickBo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thickBo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thickBo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thickBo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thickBo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thickBo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thickBo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thickBo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thickBo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thickBo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thickBo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thickBo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thickBo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thickBo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thickBo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thickBo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thickBo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thickBo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thickBo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thickBo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thickBo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thickBo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thickBo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thickBo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thickBo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thickBo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thickBo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thickBo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thickBo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thickBo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thickBo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thickBo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thickBo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thickBo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thickBo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thickBo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thickBo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thickBo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thickBo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thickBo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thickBo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thickBo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thickBo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thickBo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thickBo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thickBo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thickBo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thickBo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thickBo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thickBo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thickBo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thickBo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thickBo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thickBo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thickBo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thickBo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thickBo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thickBo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thickBo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thickBo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thickBo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thickBo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thickBo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thickBo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thickBo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thickBo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thickBo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thickBo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thickBo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thickBo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thickBo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thickBo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thickBo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thickBo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thickBo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thickBo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thickBo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thickBo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thickBo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thickBo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thickBo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thickBo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thickBo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thickBo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thickBo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thickBo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thickBo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thickBo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thickBo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thickBo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thickBo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thickBo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thickBo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thickBo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thickBo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thickBo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thickBo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thickBo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thickBo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thickBo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thickBo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thickBo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thickBo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thickBo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thickBo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thickBo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thickBo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thickBo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thickBo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thickBo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thickBo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thickBo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thickBo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thickBo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thickBo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thickBo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thickBo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thickBo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thickBo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thickBo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thickBo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thickBo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thickBo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thickBo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thickBo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thickBo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thickBo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thickBo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thickBo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thickBo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thickBo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thickBo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thickBo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thickBo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thickBo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thickBo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thickBo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thickBo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thickBo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thickBo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thickBo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thickBo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thickBo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thickBo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thickBo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thickBo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thickBo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thickBo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thickBo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thickBo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thickBo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thickBo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thickBo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thickBo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thickBo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thickBo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thickBo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thickBo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thickBo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thickBo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thickBo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thickBo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thickBo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thickBo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thickBo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thickBo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thickBo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thickBo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thickBo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thickBo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thickBo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thickBo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thickBo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thickBo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thickBo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thickBo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thickBo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thickBo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thickBo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thickBo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thickBo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thickBo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thickBo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thickBo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thickBo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thickBo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thickBo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thickBo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thickBo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thickBo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thickBo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thickBo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thickBo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thickBo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thickBo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thickBo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thickBo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thickBo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thickBo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thickBo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thickBo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thickBo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thickBo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thickBo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thickBo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thickBo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thickBo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thickBo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thickBo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thickBo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thickBo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thickBo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thickBo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thickBo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thickBo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thickBo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thickBo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thickBo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thickBo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thickBo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thickBo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thickBo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thickBo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thickBo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thickBo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thickBo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thickBo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thickBo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thickBo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thickBo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thickBo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thickBo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thickBo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thickBo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thickBo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thickBo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thickBo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thickBo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thickBo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thickBo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thickBo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thickBo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thickBo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thickBo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thickBo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thickBo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thickBo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thickBo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thickBo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thickBo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thickBo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thickBo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thickBo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thickBo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thickBo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thickBo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thickBo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thickBo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thickBo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thickBo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thickBo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thickBo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thickBo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thickBo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thickBo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thickBo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thickBo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thickBo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thickBo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thickBo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thickBo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thickBo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thickBo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thickBo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thickBo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thickBo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thickBo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thickBo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thickBo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thickBo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thickBo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thickBo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thickBo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thickBo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thickBo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thickBo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thickBo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thickBo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thickBo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thickBo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thickBo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thickBo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thickBo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thickBo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thickBo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thickBo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thickBo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thickBo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thickBo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thickBo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thickBo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thickBo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thickBo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thickBo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thickBo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thickBo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thickBo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thickBo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thickBo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thickBo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thickBo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thickBo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thickBo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thickBo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thickBo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thickBo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thickBo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thickBo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thickBo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thickBo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thickBo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thickBo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thickBo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thickBo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thickBo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thickBo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thickBo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thickBo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thickBo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thickBo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thickBo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thickBo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thickBo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thickBo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thickBo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thickBo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thickBo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thickBo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thickBo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thickBo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thickBo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thickBo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thickBo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thickBo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thickBo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thickBo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thickBo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thickBo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thickBo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thickBo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thickBo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thickBo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thickBo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thickBo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thickBo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thickBo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thickBo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thickBo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thickBo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thickBo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thickBo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thickBo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thickBo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thickBo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thickBo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thickBo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thickBo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thickBo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thickBo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thickBo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thickBo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thickBo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thickBo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thickBo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thickBo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thickBo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thickBo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thickBo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thickBo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thickBo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thickBo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thickBo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thickBo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thickBo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thickBo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thickBo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thickBo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thickBo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thickBo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thickBo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thickBo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thickBo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thickBo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thickBo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thickBo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thickBo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thickBo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thickBo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thickBo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thickBo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thickBo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thickBo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thickBo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thickBo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thickBo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thickBo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thickBo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thickBo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thickBo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thickBo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thickBo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thickBo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thickBo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thickBo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thickBo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thickBo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thickBo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thickBo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thickBo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thickBo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thickBo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thickBo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thickBo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thickBo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thickBo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thickBo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thickBo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thickBo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thickBo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thickBo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thickBo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thickBo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thickBo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thickBo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thickBo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thickBo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thickBo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thickBo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thickBo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thickBo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thickBo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thickBo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thickBo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thickBo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thickBo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thickBo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thickBo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thickBo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thickBo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thickBo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thickBo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thickBo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thickBo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thickBo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thickBo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thickBo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thickBo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thickBo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thickBo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thickBo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thickBo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thickBo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thickBo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thickBo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thickBo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thickBo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thickBo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thickBo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thickBo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thickBo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thickBo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thickBo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thickBo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thickBo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thickBo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thickBo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thickBo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thickBo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thickBo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thickBo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thickBo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thickBo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thickBo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thickBo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thickBo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thickBo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thickBo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thickBo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thickBo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thickBo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thickBo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thickBo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thickBo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thickBo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thickBo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thickBo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thickBo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thickBo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thickBo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thickBo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thickBo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thickBo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thickBo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thickBo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thickBo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thickBo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thickBo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thickBo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thickBo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thickBo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thickBo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thickBo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thickBo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thickBo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thickBo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thickBo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thickBo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thickBo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thickBo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thickBo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thickBo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thickBo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thickBo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thickBo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thickBo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thickBo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thickBo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thickBo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thickBo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thickBo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thickBo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thickBo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thickBo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thickBo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thickBo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thickBo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thickBo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thickBo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thickBo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thickBo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thickBo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thickBo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thickBo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thickBo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thickBo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thickBo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thickBo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thickBo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thickBo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thickBo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thickBo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thickBo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thickBo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thickBo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thickBo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thickBo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thickBo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thickBo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thickBo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thickBo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thickBo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thickBo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thickBo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thickBo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thickBo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thickBo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thickBo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thickBo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thickBo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thickBo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thickBo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thickBo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thickBo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thickBo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thickBo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thickBo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thickBo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thickBo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thickBo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thickBo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thickBo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thickBo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thickBo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thickBo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thickBo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thickBo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thickBo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thickBo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thickBo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thickBo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thickBo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thickBo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thickBo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thickBo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thickBo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thickBo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thickBo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thickBo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thickBo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thickBo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thickBo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thickBo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thickBo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thickBo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thickBo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thickBo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thickBo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thickBo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thickBo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thickBo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thickBo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thickBo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thickBo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thickBo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thickBo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thickBo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thickBo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thickBo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thickBo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thickBo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thickBo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thickBo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thickBo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thickBo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thickBo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thickBo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thickBo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thickBo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thickBo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thickBo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thickBo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thickBo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thickBo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thickBo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thickBo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thickBo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thickBo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thickBo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thickBo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thickBo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thickBo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thickBo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thickBo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thickBo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thickBo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thickBo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thickBo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thickBo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thickBo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thickBo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thickBo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thickBo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thickBo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thickBo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thickBo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thickBo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thickBo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thickBo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thickBo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thickBo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thickBo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thickBo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thickBo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thickBo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thickBo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thickBo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thickBo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thickBo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thickBo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thickBo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thickBo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thickBo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thickBo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thickBo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thickBo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thickBo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thickBo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thickBo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thickBo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thickBo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 customHeight="1" thickBo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 customHeight="1" thickBo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 customHeight="1" thickBo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 customHeight="1" thickBo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 customHeight="1" thickBo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 customHeight="1" thickBo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 customHeight="1" thickBo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 customHeight="1" thickBo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 customHeight="1" thickBo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 customHeight="1" thickBo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 customHeight="1" thickBo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 customHeight="1" thickBo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 customHeight="1" thickBo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 customHeight="1" thickBo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 customHeight="1" thickBo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 customHeight="1" thickBo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 customHeight="1" thickBo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 customHeight="1" thickBo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 customHeight="1" thickBo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 customHeight="1" thickBo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 customHeight="1" thickBo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 customHeight="1" thickBo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 customHeight="1" thickBo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 customHeight="1" thickBo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5" customHeight="1" thickBot="1" x14ac:dyDescent="0.25">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5" customHeight="1" thickBot="1" x14ac:dyDescent="0.25">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5" customHeight="1" thickBot="1" x14ac:dyDescent="0.25">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5" customHeight="1" thickBot="1" x14ac:dyDescent="0.25">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ht="15" customHeight="1" thickBot="1" x14ac:dyDescent="0.2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spans="1:26" ht="15" customHeight="1" thickBot="1" x14ac:dyDescent="0.25">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spans="1:26" ht="15" customHeight="1" thickBot="1" x14ac:dyDescent="0.25">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spans="1:26" ht="15" customHeight="1" thickBot="1" x14ac:dyDescent="0.25">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spans="1:26" ht="15" customHeight="1" thickBot="1" x14ac:dyDescent="0.25">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spans="1:26" ht="15" customHeight="1" thickBot="1" x14ac:dyDescent="0.25">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spans="1:26" ht="15" customHeight="1" thickBot="1" x14ac:dyDescent="0.25">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row r="1012" spans="1:26" ht="15" customHeight="1" thickBot="1" x14ac:dyDescent="0.25">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row>
    <row r="1013" spans="1:26" ht="15" customHeight="1" thickBot="1" x14ac:dyDescent="0.25">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row>
    <row r="1014" spans="1:26" ht="15" customHeight="1" thickBot="1" x14ac:dyDescent="0.25">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row>
    <row r="1015" spans="1:26" ht="15" customHeight="1" thickBot="1" x14ac:dyDescent="0.2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row>
    <row r="1016" spans="1:26" ht="15" customHeight="1" thickBot="1" x14ac:dyDescent="0.25">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row>
    <row r="1017" spans="1:26" ht="15" customHeight="1" thickBot="1" x14ac:dyDescent="0.25">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row>
    <row r="1018" spans="1:26" ht="15" customHeight="1" thickBot="1" x14ac:dyDescent="0.25">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row>
    <row r="1019" spans="1:26" ht="15" customHeight="1" thickBot="1" x14ac:dyDescent="0.25">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row>
    <row r="1020" spans="1:26" ht="15" customHeight="1" thickBot="1" x14ac:dyDescent="0.25">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row>
  </sheetData>
  <mergeCells count="4">
    <mergeCell ref="L23:O23"/>
    <mergeCell ref="L20:O20"/>
    <mergeCell ref="L21:O21"/>
    <mergeCell ref="L22:O22"/>
  </mergeCells>
  <phoneticPr fontId="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V847"/>
  <sheetViews>
    <sheetView topLeftCell="A19" zoomScale="60" zoomScaleNormal="60" workbookViewId="0">
      <selection activeCell="K20" sqref="K20"/>
    </sheetView>
  </sheetViews>
  <sheetFormatPr baseColWidth="10" defaultColWidth="12.5703125" defaultRowHeight="15" customHeight="1" x14ac:dyDescent="0.2"/>
  <cols>
    <col min="1" max="1" width="12.5703125" customWidth="1"/>
    <col min="2" max="2" width="24.7109375" customWidth="1"/>
    <col min="3" max="3" width="12.5703125" customWidth="1"/>
    <col min="4" max="4" width="11.140625" customWidth="1"/>
    <col min="5" max="8" width="12.5703125" customWidth="1"/>
  </cols>
  <sheetData>
    <row r="1" spans="1:22" ht="15.75" customHeight="1" x14ac:dyDescent="0.2"/>
    <row r="2" spans="1:22" ht="15.75" customHeight="1" x14ac:dyDescent="0.2"/>
    <row r="3" spans="1:22" ht="15.75" customHeight="1" x14ac:dyDescent="0.2">
      <c r="A3" s="52" t="s">
        <v>156</v>
      </c>
      <c r="B3" s="52"/>
      <c r="C3" s="52"/>
      <c r="D3" s="52"/>
      <c r="E3" s="52"/>
      <c r="F3" s="52"/>
      <c r="G3" s="52"/>
      <c r="H3" s="52"/>
      <c r="I3" s="52"/>
      <c r="J3" s="52"/>
      <c r="K3" s="52"/>
      <c r="L3" s="52"/>
      <c r="M3" s="52"/>
      <c r="N3" s="52"/>
      <c r="O3" s="52"/>
      <c r="P3" s="52"/>
      <c r="Q3" s="52"/>
      <c r="R3" s="52"/>
      <c r="S3" s="52"/>
      <c r="T3" s="52"/>
      <c r="U3" s="52"/>
      <c r="V3" s="52"/>
    </row>
    <row r="4" spans="1:22" ht="15.75" customHeight="1" x14ac:dyDescent="0.2">
      <c r="A4" s="52"/>
      <c r="B4" s="52"/>
      <c r="C4" s="52"/>
      <c r="D4" s="52"/>
      <c r="E4" s="52"/>
      <c r="F4" s="52"/>
      <c r="G4" s="52"/>
      <c r="H4" s="52"/>
      <c r="I4" s="52"/>
      <c r="J4" s="52"/>
      <c r="K4" s="52"/>
      <c r="L4" s="52"/>
      <c r="M4" s="52"/>
      <c r="N4" s="52"/>
      <c r="O4" s="52"/>
      <c r="P4" s="52"/>
      <c r="Q4" s="52"/>
      <c r="R4" s="52"/>
      <c r="S4" s="52"/>
      <c r="T4" s="52"/>
      <c r="U4" s="52"/>
      <c r="V4" s="52"/>
    </row>
    <row r="5" spans="1:22" ht="15.75" customHeight="1" x14ac:dyDescent="0.2"/>
    <row r="6" spans="1:22" ht="15.75" customHeight="1" x14ac:dyDescent="0.2"/>
    <row r="7" spans="1:22" ht="15.75" customHeight="1" thickBot="1" x14ac:dyDescent="0.25">
      <c r="B7" s="1"/>
      <c r="C7" s="1" t="s">
        <v>17</v>
      </c>
      <c r="D7" s="1" t="s">
        <v>21</v>
      </c>
      <c r="E7" s="1" t="s">
        <v>22</v>
      </c>
      <c r="F7" s="1" t="s">
        <v>23</v>
      </c>
      <c r="G7" s="1" t="s">
        <v>24</v>
      </c>
      <c r="H7" s="1" t="s">
        <v>25</v>
      </c>
      <c r="I7" s="1" t="s">
        <v>26</v>
      </c>
      <c r="J7" s="1" t="s">
        <v>27</v>
      </c>
      <c r="K7" s="1" t="s">
        <v>28</v>
      </c>
    </row>
    <row r="8" spans="1:22" ht="15.75" customHeight="1" thickBot="1" x14ac:dyDescent="0.25">
      <c r="B8" s="12" t="s">
        <v>121</v>
      </c>
      <c r="C8" s="6">
        <v>4</v>
      </c>
      <c r="D8">
        <v>1</v>
      </c>
      <c r="E8">
        <v>0</v>
      </c>
      <c r="F8">
        <v>0</v>
      </c>
      <c r="G8">
        <v>0</v>
      </c>
      <c r="H8">
        <v>2</v>
      </c>
      <c r="I8">
        <v>0</v>
      </c>
      <c r="J8">
        <v>1</v>
      </c>
      <c r="K8" s="5">
        <f>+D8+E8+F8+G8+H8+I8+J8</f>
        <v>4</v>
      </c>
    </row>
    <row r="9" spans="1:22" ht="15.75" customHeight="1" thickBot="1" x14ac:dyDescent="0.25">
      <c r="B9" s="12" t="s">
        <v>122</v>
      </c>
      <c r="C9" s="6">
        <v>4</v>
      </c>
      <c r="D9">
        <v>0</v>
      </c>
      <c r="E9">
        <v>1</v>
      </c>
      <c r="F9">
        <v>0</v>
      </c>
      <c r="G9">
        <v>2</v>
      </c>
      <c r="H9">
        <v>0</v>
      </c>
      <c r="I9">
        <v>0</v>
      </c>
      <c r="J9">
        <v>1</v>
      </c>
      <c r="K9" s="5">
        <f t="shared" ref="K9:K11" si="0">+D9+E9+F9+G9+H9+I9+J9</f>
        <v>4</v>
      </c>
    </row>
    <row r="10" spans="1:22" ht="15.75" customHeight="1" thickBot="1" x14ac:dyDescent="0.25">
      <c r="B10" s="12" t="s">
        <v>123</v>
      </c>
      <c r="C10" s="6">
        <v>2</v>
      </c>
      <c r="D10">
        <v>2</v>
      </c>
      <c r="E10">
        <v>0</v>
      </c>
      <c r="F10">
        <v>0</v>
      </c>
      <c r="G10">
        <v>0</v>
      </c>
      <c r="H10">
        <v>0</v>
      </c>
      <c r="I10">
        <v>0</v>
      </c>
      <c r="J10">
        <v>0</v>
      </c>
      <c r="K10" s="5">
        <f t="shared" si="0"/>
        <v>2</v>
      </c>
    </row>
    <row r="11" spans="1:22" ht="15.75" customHeight="1" thickBot="1" x14ac:dyDescent="0.25">
      <c r="B11" s="14" t="s">
        <v>124</v>
      </c>
      <c r="C11" s="6">
        <v>2</v>
      </c>
      <c r="D11">
        <v>0</v>
      </c>
      <c r="E11">
        <v>1</v>
      </c>
      <c r="F11">
        <v>0</v>
      </c>
      <c r="G11">
        <v>0</v>
      </c>
      <c r="H11">
        <v>0</v>
      </c>
      <c r="I11">
        <v>2</v>
      </c>
      <c r="J11">
        <v>1</v>
      </c>
      <c r="K11" s="5">
        <f t="shared" si="0"/>
        <v>4</v>
      </c>
    </row>
    <row r="12" spans="1:22" ht="15.75" customHeight="1" x14ac:dyDescent="0.2"/>
    <row r="13" spans="1:22" ht="15.75" customHeight="1" x14ac:dyDescent="0.4">
      <c r="B13" s="2" t="s">
        <v>29</v>
      </c>
      <c r="C13" s="3">
        <f>SUM(C8:C11)</f>
        <v>12</v>
      </c>
      <c r="D13" s="3">
        <f t="shared" ref="D13:J13" si="1">C13-SUM(D8:D11)</f>
        <v>9</v>
      </c>
      <c r="E13" s="4">
        <f t="shared" si="1"/>
        <v>7</v>
      </c>
      <c r="F13" s="3">
        <f t="shared" si="1"/>
        <v>7</v>
      </c>
      <c r="G13" s="3">
        <f t="shared" si="1"/>
        <v>5</v>
      </c>
      <c r="H13" s="3">
        <f t="shared" si="1"/>
        <v>3</v>
      </c>
      <c r="I13" s="3">
        <f t="shared" si="1"/>
        <v>1</v>
      </c>
      <c r="J13" s="3">
        <f t="shared" si="1"/>
        <v>-2</v>
      </c>
    </row>
    <row r="14" spans="1:22" ht="15.75" customHeight="1" x14ac:dyDescent="0.4">
      <c r="B14" s="2" t="s">
        <v>30</v>
      </c>
      <c r="C14" s="3">
        <f>SUM(C8:C11)</f>
        <v>12</v>
      </c>
      <c r="D14" s="3">
        <f>C14-(SUM(C8:C11)/7)</f>
        <v>10.285714285714286</v>
      </c>
      <c r="E14" s="4">
        <f>D14-(SUM(C8:C11)/7)</f>
        <v>8.571428571428573</v>
      </c>
      <c r="F14" s="3">
        <f>E14-(SUM(C8:C11)/7)</f>
        <v>6.8571428571428585</v>
      </c>
      <c r="G14" s="3">
        <f>F14-(SUM(C8:C11)/7)</f>
        <v>5.1428571428571441</v>
      </c>
      <c r="H14" s="3">
        <f>G14-(SUM(C8:C11)/7)</f>
        <v>3.4285714285714297</v>
      </c>
      <c r="I14" s="3">
        <f>H14-(SUM(C8:C11)/7)</f>
        <v>1.7142857142857155</v>
      </c>
      <c r="J14" s="3">
        <f>I14-(SUM(C8:C11)/7)</f>
        <v>0</v>
      </c>
    </row>
    <row r="15" spans="1:22" ht="15.75" customHeight="1" x14ac:dyDescent="0.2"/>
    <row r="16" spans="1:22" ht="15.75" customHeight="1" x14ac:dyDescent="0.2"/>
    <row r="17" spans="2:11" ht="15.75" customHeight="1" x14ac:dyDescent="0.2">
      <c r="B17" s="51" t="s">
        <v>157</v>
      </c>
      <c r="C17" s="51"/>
      <c r="D17" s="51"/>
      <c r="E17" s="51"/>
      <c r="F17" s="51"/>
      <c r="G17" s="51"/>
    </row>
    <row r="18" spans="2:11" ht="15.75" customHeight="1" x14ac:dyDescent="0.2">
      <c r="B18" s="51"/>
      <c r="C18" s="51"/>
      <c r="D18" s="51"/>
      <c r="E18" s="51"/>
      <c r="F18" s="51"/>
      <c r="G18" s="51"/>
    </row>
    <row r="19" spans="2:11" ht="15.75" customHeight="1" x14ac:dyDescent="0.2">
      <c r="B19" s="51"/>
      <c r="C19" s="51"/>
      <c r="D19" s="51"/>
      <c r="E19" s="51"/>
      <c r="F19" s="51"/>
      <c r="G19" s="51"/>
    </row>
    <row r="20" spans="2:11" ht="15.75" customHeight="1" x14ac:dyDescent="0.2">
      <c r="B20" s="51"/>
      <c r="C20" s="51"/>
      <c r="D20" s="51"/>
      <c r="E20" s="51"/>
      <c r="F20" s="51"/>
      <c r="G20" s="51"/>
    </row>
    <row r="21" spans="2:11" ht="15.75" customHeight="1" x14ac:dyDescent="0.2">
      <c r="B21" s="51"/>
      <c r="C21" s="51"/>
      <c r="D21" s="51"/>
      <c r="E21" s="51"/>
      <c r="F21" s="51"/>
      <c r="G21" s="51"/>
    </row>
    <row r="22" spans="2:11" ht="15.75" customHeight="1" x14ac:dyDescent="0.2">
      <c r="B22" s="51"/>
      <c r="C22" s="51"/>
      <c r="D22" s="51"/>
      <c r="E22" s="51"/>
      <c r="F22" s="51"/>
      <c r="G22" s="51"/>
    </row>
    <row r="23" spans="2:11" ht="15.75" customHeight="1" x14ac:dyDescent="0.2">
      <c r="B23" s="51"/>
      <c r="C23" s="51"/>
      <c r="D23" s="51"/>
      <c r="E23" s="51"/>
      <c r="F23" s="51"/>
      <c r="G23" s="51"/>
    </row>
    <row r="24" spans="2:11" ht="15.75" customHeight="1" x14ac:dyDescent="0.2">
      <c r="B24" s="51"/>
      <c r="C24" s="51"/>
      <c r="D24" s="51"/>
      <c r="E24" s="51"/>
      <c r="F24" s="51"/>
      <c r="G24" s="51"/>
    </row>
    <row r="25" spans="2:11" ht="15.75" customHeight="1" x14ac:dyDescent="0.2"/>
    <row r="26" spans="2:11" ht="15.75" customHeight="1" x14ac:dyDescent="0.2"/>
    <row r="27" spans="2:11" ht="15.75" customHeight="1" thickBot="1" x14ac:dyDescent="0.25">
      <c r="B27" s="1"/>
      <c r="C27" s="1" t="s">
        <v>17</v>
      </c>
      <c r="D27" s="1" t="s">
        <v>21</v>
      </c>
      <c r="E27" s="1" t="s">
        <v>22</v>
      </c>
      <c r="F27" s="1" t="s">
        <v>23</v>
      </c>
      <c r="G27" s="1" t="s">
        <v>24</v>
      </c>
      <c r="H27" s="1" t="s">
        <v>25</v>
      </c>
      <c r="I27" s="1" t="s">
        <v>26</v>
      </c>
      <c r="J27" s="1" t="s">
        <v>27</v>
      </c>
      <c r="K27" s="1" t="s">
        <v>28</v>
      </c>
    </row>
    <row r="28" spans="2:11" ht="15.75" customHeight="1" thickBot="1" x14ac:dyDescent="0.25">
      <c r="B28" s="12" t="s">
        <v>126</v>
      </c>
      <c r="C28" s="6">
        <v>5</v>
      </c>
      <c r="D28">
        <v>2</v>
      </c>
      <c r="E28">
        <v>0</v>
      </c>
      <c r="F28">
        <v>0</v>
      </c>
      <c r="G28">
        <v>0</v>
      </c>
      <c r="H28">
        <v>2</v>
      </c>
      <c r="I28">
        <v>0</v>
      </c>
      <c r="J28">
        <v>1</v>
      </c>
      <c r="K28" s="5">
        <f>+D28+E28+F28+G28+H28+I28+J28</f>
        <v>5</v>
      </c>
    </row>
    <row r="29" spans="2:11" ht="15.75" customHeight="1" thickBot="1" x14ac:dyDescent="0.25">
      <c r="B29" s="12" t="s">
        <v>127</v>
      </c>
      <c r="C29" s="6">
        <v>4</v>
      </c>
      <c r="D29">
        <v>0</v>
      </c>
      <c r="E29">
        <v>1</v>
      </c>
      <c r="F29">
        <v>0</v>
      </c>
      <c r="G29">
        <v>2</v>
      </c>
      <c r="H29">
        <v>0</v>
      </c>
      <c r="I29">
        <v>0</v>
      </c>
      <c r="J29">
        <v>1</v>
      </c>
      <c r="K29" s="5">
        <f t="shared" ref="K29:K31" si="2">+D29+E29+F29+G29+H29+I29+J29</f>
        <v>4</v>
      </c>
    </row>
    <row r="30" spans="2:11" ht="15.75" customHeight="1" thickBot="1" x14ac:dyDescent="0.25">
      <c r="B30" s="12" t="s">
        <v>128</v>
      </c>
      <c r="C30" s="6">
        <v>3</v>
      </c>
      <c r="D30">
        <v>2</v>
      </c>
      <c r="E30">
        <v>1</v>
      </c>
      <c r="F30">
        <v>0</v>
      </c>
      <c r="G30">
        <v>0</v>
      </c>
      <c r="H30">
        <v>0</v>
      </c>
      <c r="I30">
        <v>0</v>
      </c>
      <c r="J30">
        <v>0</v>
      </c>
      <c r="K30" s="5">
        <f t="shared" si="2"/>
        <v>3</v>
      </c>
    </row>
    <row r="31" spans="2:11" ht="15.75" customHeight="1" thickBot="1" x14ac:dyDescent="0.25">
      <c r="B31" s="14" t="s">
        <v>129</v>
      </c>
      <c r="C31" s="6">
        <v>2</v>
      </c>
      <c r="D31">
        <v>0</v>
      </c>
      <c r="E31">
        <v>0</v>
      </c>
      <c r="F31">
        <v>0</v>
      </c>
      <c r="G31">
        <v>1</v>
      </c>
      <c r="H31">
        <v>0</v>
      </c>
      <c r="I31">
        <v>0</v>
      </c>
      <c r="J31">
        <v>1</v>
      </c>
      <c r="K31" s="5">
        <f t="shared" si="2"/>
        <v>2</v>
      </c>
    </row>
    <row r="32" spans="2:11" ht="15.75" customHeight="1" x14ac:dyDescent="0.2"/>
    <row r="33" spans="2:11" ht="15.75" customHeight="1" x14ac:dyDescent="0.4">
      <c r="B33" s="2" t="s">
        <v>29</v>
      </c>
      <c r="C33" s="3">
        <f>SUM(C28:C31)</f>
        <v>14</v>
      </c>
      <c r="D33" s="3">
        <f t="shared" ref="D33:J33" si="3">C33-SUM(D28:D31)</f>
        <v>10</v>
      </c>
      <c r="E33" s="4">
        <f t="shared" si="3"/>
        <v>8</v>
      </c>
      <c r="F33" s="3">
        <f t="shared" si="3"/>
        <v>8</v>
      </c>
      <c r="G33" s="3">
        <f t="shared" si="3"/>
        <v>5</v>
      </c>
      <c r="H33" s="3">
        <f t="shared" si="3"/>
        <v>3</v>
      </c>
      <c r="I33" s="3">
        <f t="shared" si="3"/>
        <v>3</v>
      </c>
      <c r="J33" s="3">
        <f t="shared" si="3"/>
        <v>0</v>
      </c>
    </row>
    <row r="34" spans="2:11" ht="15.75" customHeight="1" x14ac:dyDescent="0.4">
      <c r="B34" s="2" t="s">
        <v>30</v>
      </c>
      <c r="C34" s="3">
        <f>SUM(C28:C31)</f>
        <v>14</v>
      </c>
      <c r="D34" s="3">
        <f>C34-(SUM(C28:C31)/7)</f>
        <v>12</v>
      </c>
      <c r="E34" s="4">
        <f>D34-(SUM(C28:C31)/7)</f>
        <v>10</v>
      </c>
      <c r="F34" s="3">
        <f>E34-(SUM(C28:C31)/7)</f>
        <v>8</v>
      </c>
      <c r="G34" s="3">
        <f>F34-(SUM(C28:C31)/7)</f>
        <v>6</v>
      </c>
      <c r="H34" s="3">
        <f>G34-(SUM(C28:C31)/7)</f>
        <v>4</v>
      </c>
      <c r="I34" s="3">
        <f>H34-(SUM(C28:C31)/7)</f>
        <v>2</v>
      </c>
      <c r="J34" s="3">
        <f>I34-(SUM(C28:C31)/7)</f>
        <v>0</v>
      </c>
    </row>
    <row r="35" spans="2:11" ht="15.75" customHeight="1" x14ac:dyDescent="0.2"/>
    <row r="36" spans="2:11" ht="15.75" customHeight="1" x14ac:dyDescent="0.2"/>
    <row r="37" spans="2:11" ht="15.75" customHeight="1" x14ac:dyDescent="0.2">
      <c r="B37" s="51" t="s">
        <v>158</v>
      </c>
      <c r="C37" s="51"/>
      <c r="D37" s="51"/>
      <c r="E37" s="51"/>
      <c r="F37" s="51"/>
      <c r="G37" s="51"/>
    </row>
    <row r="38" spans="2:11" ht="15.75" customHeight="1" x14ac:dyDescent="0.2">
      <c r="B38" s="51"/>
      <c r="C38" s="51"/>
      <c r="D38" s="51"/>
      <c r="E38" s="51"/>
      <c r="F38" s="51"/>
      <c r="G38" s="51"/>
    </row>
    <row r="39" spans="2:11" ht="15.75" customHeight="1" x14ac:dyDescent="0.2">
      <c r="B39" s="51"/>
      <c r="C39" s="51"/>
      <c r="D39" s="51"/>
      <c r="E39" s="51"/>
      <c r="F39" s="51"/>
      <c r="G39" s="51"/>
    </row>
    <row r="40" spans="2:11" ht="15.75" customHeight="1" x14ac:dyDescent="0.2">
      <c r="B40" s="51"/>
      <c r="C40" s="51"/>
      <c r="D40" s="51"/>
      <c r="E40" s="51"/>
      <c r="F40" s="51"/>
      <c r="G40" s="51"/>
    </row>
    <row r="41" spans="2:11" ht="15.75" customHeight="1" x14ac:dyDescent="0.2">
      <c r="B41" s="51"/>
      <c r="C41" s="51"/>
      <c r="D41" s="51"/>
      <c r="E41" s="51"/>
      <c r="F41" s="51"/>
      <c r="G41" s="51"/>
    </row>
    <row r="42" spans="2:11" ht="15.75" customHeight="1" x14ac:dyDescent="0.2">
      <c r="B42" s="51"/>
      <c r="C42" s="51"/>
      <c r="D42" s="51"/>
      <c r="E42" s="51"/>
      <c r="F42" s="51"/>
      <c r="G42" s="51"/>
    </row>
    <row r="43" spans="2:11" ht="15.75" customHeight="1" x14ac:dyDescent="0.2">
      <c r="B43" s="51"/>
      <c r="C43" s="51"/>
      <c r="D43" s="51"/>
      <c r="E43" s="51"/>
      <c r="F43" s="51"/>
      <c r="G43" s="51"/>
    </row>
    <row r="44" spans="2:11" ht="15.75" customHeight="1" x14ac:dyDescent="0.2">
      <c r="B44" s="51"/>
      <c r="C44" s="51"/>
      <c r="D44" s="51"/>
      <c r="E44" s="51"/>
      <c r="F44" s="51"/>
      <c r="G44" s="51"/>
    </row>
    <row r="45" spans="2:11" ht="15.75" customHeight="1" x14ac:dyDescent="0.2"/>
    <row r="46" spans="2:11" ht="15.75" customHeight="1" x14ac:dyDescent="0.2"/>
    <row r="47" spans="2:11" ht="15.75" customHeight="1" thickBot="1" x14ac:dyDescent="0.25">
      <c r="B47" s="1"/>
      <c r="C47" s="1" t="s">
        <v>17</v>
      </c>
      <c r="D47" s="1" t="s">
        <v>21</v>
      </c>
      <c r="E47" s="1" t="s">
        <v>22</v>
      </c>
      <c r="F47" s="1" t="s">
        <v>23</v>
      </c>
      <c r="G47" s="1" t="s">
        <v>24</v>
      </c>
      <c r="H47" s="1" t="s">
        <v>25</v>
      </c>
      <c r="I47" s="1" t="s">
        <v>26</v>
      </c>
      <c r="J47" s="1" t="s">
        <v>27</v>
      </c>
      <c r="K47" s="1" t="s">
        <v>28</v>
      </c>
    </row>
    <row r="48" spans="2:11" ht="15.75" customHeight="1" thickBot="1" x14ac:dyDescent="0.25">
      <c r="B48" s="12" t="s">
        <v>131</v>
      </c>
      <c r="C48" s="6">
        <v>4</v>
      </c>
      <c r="D48">
        <v>2</v>
      </c>
      <c r="E48">
        <v>0</v>
      </c>
      <c r="F48">
        <v>0</v>
      </c>
      <c r="G48">
        <v>0</v>
      </c>
      <c r="H48">
        <v>1</v>
      </c>
      <c r="I48">
        <v>0</v>
      </c>
      <c r="J48">
        <v>1</v>
      </c>
      <c r="K48" s="5">
        <f>+D48+E48+F48+G48+H48+I48+J48</f>
        <v>4</v>
      </c>
    </row>
    <row r="49" spans="2:11" ht="15.75" customHeight="1" thickBot="1" x14ac:dyDescent="0.25">
      <c r="B49" s="12" t="s">
        <v>132</v>
      </c>
      <c r="C49" s="6">
        <v>5</v>
      </c>
      <c r="D49">
        <v>1</v>
      </c>
      <c r="E49">
        <v>1</v>
      </c>
      <c r="F49">
        <v>0</v>
      </c>
      <c r="G49">
        <v>2</v>
      </c>
      <c r="H49">
        <v>0</v>
      </c>
      <c r="I49">
        <v>0</v>
      </c>
      <c r="J49">
        <v>1</v>
      </c>
      <c r="K49" s="5">
        <f t="shared" ref="K49:K51" si="4">+D49+E49+F49+G49+H49+I49+J49</f>
        <v>5</v>
      </c>
    </row>
    <row r="50" spans="2:11" ht="15.75" customHeight="1" thickBot="1" x14ac:dyDescent="0.25">
      <c r="B50" s="12" t="s">
        <v>133</v>
      </c>
      <c r="C50" s="6">
        <v>3</v>
      </c>
      <c r="D50">
        <v>2</v>
      </c>
      <c r="E50">
        <v>1</v>
      </c>
      <c r="F50">
        <v>0</v>
      </c>
      <c r="G50">
        <v>0</v>
      </c>
      <c r="H50">
        <v>0</v>
      </c>
      <c r="I50">
        <v>0</v>
      </c>
      <c r="J50">
        <v>0</v>
      </c>
      <c r="K50" s="5">
        <f t="shared" si="4"/>
        <v>3</v>
      </c>
    </row>
    <row r="51" spans="2:11" ht="15.75" customHeight="1" thickBot="1" x14ac:dyDescent="0.25">
      <c r="B51" s="14" t="s">
        <v>134</v>
      </c>
      <c r="C51" s="6">
        <v>2</v>
      </c>
      <c r="D51">
        <v>0</v>
      </c>
      <c r="E51">
        <v>0</v>
      </c>
      <c r="F51">
        <v>0</v>
      </c>
      <c r="G51">
        <v>1</v>
      </c>
      <c r="H51">
        <v>0</v>
      </c>
      <c r="I51">
        <v>0</v>
      </c>
      <c r="J51">
        <v>1</v>
      </c>
      <c r="K51" s="5">
        <f t="shared" si="4"/>
        <v>2</v>
      </c>
    </row>
    <row r="52" spans="2:11" ht="15.75" customHeight="1" x14ac:dyDescent="0.2"/>
    <row r="53" spans="2:11" ht="15.75" customHeight="1" x14ac:dyDescent="0.4">
      <c r="B53" s="2" t="s">
        <v>29</v>
      </c>
      <c r="C53" s="3">
        <f>SUM(C48:C51)</f>
        <v>14</v>
      </c>
      <c r="D53" s="3">
        <f t="shared" ref="D53:J53" si="5">C53-SUM(D48:D51)</f>
        <v>9</v>
      </c>
      <c r="E53" s="4">
        <f t="shared" si="5"/>
        <v>7</v>
      </c>
      <c r="F53" s="3">
        <f t="shared" si="5"/>
        <v>7</v>
      </c>
      <c r="G53" s="3">
        <f t="shared" si="5"/>
        <v>4</v>
      </c>
      <c r="H53" s="3">
        <f t="shared" si="5"/>
        <v>3</v>
      </c>
      <c r="I53" s="3">
        <f t="shared" si="5"/>
        <v>3</v>
      </c>
      <c r="J53" s="3">
        <f t="shared" si="5"/>
        <v>0</v>
      </c>
    </row>
    <row r="54" spans="2:11" ht="15.75" customHeight="1" x14ac:dyDescent="0.4">
      <c r="B54" s="2" t="s">
        <v>30</v>
      </c>
      <c r="C54" s="3">
        <f>SUM(C48:C51)</f>
        <v>14</v>
      </c>
      <c r="D54" s="3">
        <f>C54-(SUM(C48:C51)/7)</f>
        <v>12</v>
      </c>
      <c r="E54" s="4">
        <f>D54-(SUM(C48:C51)/7)</f>
        <v>10</v>
      </c>
      <c r="F54" s="3">
        <f>E54-(SUM(C48:C51)/7)</f>
        <v>8</v>
      </c>
      <c r="G54" s="3">
        <f>F54-(SUM(C48:C51)/7)</f>
        <v>6</v>
      </c>
      <c r="H54" s="3">
        <f>G54-(SUM(C48:C51)/7)</f>
        <v>4</v>
      </c>
      <c r="I54" s="3">
        <f>H54-(SUM(C48:C51)/7)</f>
        <v>2</v>
      </c>
      <c r="J54" s="3">
        <f>I54-(SUM(C48:C51)/7)</f>
        <v>0</v>
      </c>
    </row>
    <row r="55" spans="2:11" ht="15.75" customHeight="1" x14ac:dyDescent="0.2"/>
    <row r="56" spans="2:11" ht="15.75" customHeight="1" x14ac:dyDescent="0.2"/>
    <row r="57" spans="2:11" ht="15.75" customHeight="1" x14ac:dyDescent="0.2">
      <c r="B57" s="51" t="s">
        <v>159</v>
      </c>
      <c r="C57" s="51"/>
      <c r="D57" s="51"/>
      <c r="E57" s="51"/>
      <c r="F57" s="51"/>
      <c r="G57" s="51"/>
    </row>
    <row r="58" spans="2:11" ht="15.75" customHeight="1" x14ac:dyDescent="0.2">
      <c r="B58" s="51"/>
      <c r="C58" s="51"/>
      <c r="D58" s="51"/>
      <c r="E58" s="51"/>
      <c r="F58" s="51"/>
      <c r="G58" s="51"/>
    </row>
    <row r="59" spans="2:11" ht="15.75" customHeight="1" x14ac:dyDescent="0.2">
      <c r="B59" s="51"/>
      <c r="C59" s="51"/>
      <c r="D59" s="51"/>
      <c r="E59" s="51"/>
      <c r="F59" s="51"/>
      <c r="G59" s="51"/>
    </row>
    <row r="60" spans="2:11" ht="15.75" customHeight="1" x14ac:dyDescent="0.2">
      <c r="B60" s="51"/>
      <c r="C60" s="51"/>
      <c r="D60" s="51"/>
      <c r="E60" s="51"/>
      <c r="F60" s="51"/>
      <c r="G60" s="51"/>
    </row>
    <row r="61" spans="2:11" ht="15.75" customHeight="1" x14ac:dyDescent="0.2">
      <c r="B61" s="51"/>
      <c r="C61" s="51"/>
      <c r="D61" s="51"/>
      <c r="E61" s="51"/>
      <c r="F61" s="51"/>
      <c r="G61" s="51"/>
    </row>
    <row r="62" spans="2:11" ht="15.75" customHeight="1" x14ac:dyDescent="0.2">
      <c r="B62" s="51"/>
      <c r="C62" s="51"/>
      <c r="D62" s="51"/>
      <c r="E62" s="51"/>
      <c r="F62" s="51"/>
      <c r="G62" s="51"/>
    </row>
    <row r="63" spans="2:11" ht="15.75" customHeight="1" x14ac:dyDescent="0.2">
      <c r="B63" s="51"/>
      <c r="C63" s="51"/>
      <c r="D63" s="51"/>
      <c r="E63" s="51"/>
      <c r="F63" s="51"/>
      <c r="G63" s="51"/>
    </row>
    <row r="64" spans="2:11" ht="15.75" customHeight="1" x14ac:dyDescent="0.2">
      <c r="B64" s="51"/>
      <c r="C64" s="51"/>
      <c r="D64" s="51"/>
      <c r="E64" s="51"/>
      <c r="F64" s="51"/>
      <c r="G64" s="51"/>
    </row>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sheetData>
  <mergeCells count="4">
    <mergeCell ref="A3:V4"/>
    <mergeCell ref="B17:G24"/>
    <mergeCell ref="B37:G44"/>
    <mergeCell ref="B57:G64"/>
  </mergeCells>
  <pageMargins left="0.7" right="0.7" top="0.75" bottom="0.75"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Backlog</vt:lpstr>
      <vt:lpstr>sprint1</vt:lpstr>
      <vt:lpstr>sprint2</vt:lpstr>
      <vt:lpstr>sprint3</vt:lpstr>
      <vt:lpstr>burdonchart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CRISTIAN DAVID SUQUILLO AYO</cp:lastModifiedBy>
  <dcterms:created xsi:type="dcterms:W3CDTF">2023-01-13T00:08:30Z</dcterms:created>
  <dcterms:modified xsi:type="dcterms:W3CDTF">2026-07-03T16:53:19Z</dcterms:modified>
</cp:coreProperties>
</file>