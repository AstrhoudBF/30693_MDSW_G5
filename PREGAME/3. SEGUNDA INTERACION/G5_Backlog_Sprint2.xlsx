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WINDOWS\Documents\Tercer Semestre\Metodologia\Proyecto\"/>
    </mc:Choice>
  </mc:AlternateContent>
  <xr:revisionPtr revIDLastSave="0" documentId="13_ncr:1_{5B03858A-80C8-4976-9FAC-7AE9A713C53C}" xr6:coauthVersionLast="47" xr6:coauthVersionMax="47" xr10:uidLastSave="{00000000-0000-0000-0000-000000000000}"/>
  <bookViews>
    <workbookView xWindow="-108" yWindow="-108" windowWidth="23256" windowHeight="12456" xr2:uid="{00000000-000D-0000-FFFF-FFFF00000000}"/>
  </bookViews>
  <sheets>
    <sheet name="Backlog" sheetId="1" r:id="rId1"/>
    <sheet name="sprint2" sheetId="4" r:id="rId2"/>
    <sheet name="burdonchar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9" i="3" l="1"/>
  <c r="H9" i="3"/>
  <c r="G9" i="3"/>
  <c r="F9" i="3"/>
  <c r="E9" i="3"/>
  <c r="D9" i="3"/>
  <c r="J8" i="3"/>
  <c r="I8" i="3"/>
  <c r="H8" i="3"/>
  <c r="G8" i="3"/>
  <c r="F8" i="3"/>
  <c r="E8" i="3"/>
  <c r="D8" i="3"/>
  <c r="C9" i="3"/>
  <c r="C8" i="3"/>
  <c r="I9" i="3" l="1"/>
</calcChain>
</file>

<file path=xl/sharedStrings.xml><?xml version="1.0" encoding="utf-8"?>
<sst xmlns="http://schemas.openxmlformats.org/spreadsheetml/2006/main" count="120" uniqueCount="73">
  <si>
    <t>Tema</t>
  </si>
  <si>
    <t>Como un..</t>
  </si>
  <si>
    <t>necesito</t>
  </si>
  <si>
    <t>asi podre...</t>
  </si>
  <si>
    <t>notas</t>
  </si>
  <si>
    <t>prioridad</t>
  </si>
  <si>
    <t>estatus</t>
  </si>
  <si>
    <t>Alta</t>
  </si>
  <si>
    <t>Administrador</t>
  </si>
  <si>
    <t>ID</t>
  </si>
  <si>
    <t>Necesito</t>
  </si>
  <si>
    <t>así podre...</t>
  </si>
  <si>
    <t>Prioridad</t>
  </si>
  <si>
    <t>Status</t>
  </si>
  <si>
    <t>Tareas</t>
  </si>
  <si>
    <t>Asignado</t>
  </si>
  <si>
    <t>Estimado</t>
  </si>
  <si>
    <t>Dia 7</t>
  </si>
  <si>
    <t>Dia 6</t>
  </si>
  <si>
    <t>Dia 5</t>
  </si>
  <si>
    <t>Dia 4</t>
  </si>
  <si>
    <t>Dia 3</t>
  </si>
  <si>
    <t>Dia 2</t>
  </si>
  <si>
    <t>Dia 1</t>
  </si>
  <si>
    <t>Total de Horas</t>
  </si>
  <si>
    <t>Horas Estimadas</t>
  </si>
  <si>
    <t>Horas Estimadas
Restantes</t>
  </si>
  <si>
    <t>Cristian Suquillo</t>
  </si>
  <si>
    <t>Melanie Zuñiga</t>
  </si>
  <si>
    <t>Joshep Chisaguano</t>
  </si>
  <si>
    <t>REQ005</t>
  </si>
  <si>
    <t>REQ006</t>
  </si>
  <si>
    <t>REQ007</t>
  </si>
  <si>
    <t>En revision</t>
  </si>
  <si>
    <t>Control de pagos de alícuotas por vivienda</t>
  </si>
  <si>
    <t>Registrar los pagos mensuales de los residentes asociada a cada vivienda</t>
  </si>
  <si>
    <t xml:space="preserve">Llevar un control claro de los ingresos que son generados por alícuotas </t>
  </si>
  <si>
    <t>Gestión de arriendos de locales, parqueaderos o de la sede social</t>
  </si>
  <si>
    <t>Registrar y administrar los cobros por los diferentes tipos de arriendos</t>
  </si>
  <si>
    <t>Llevar un control claro de los ingresos generados por los arriendos.</t>
  </si>
  <si>
    <t>diferenciar el tipo de arriendo</t>
  </si>
  <si>
    <t>Gestion de multas por imcuplimiento de las reglas del conjunto</t>
  </si>
  <si>
    <t>Registrar las multas especificas a las cuentas de los residentes</t>
  </si>
  <si>
    <t>Controlar multas por asambleas, mingas o mascotas</t>
  </si>
  <si>
    <t>REQ005-1</t>
  </si>
  <si>
    <t>REQ005-2</t>
  </si>
  <si>
    <t>Implementar la funcionalidad para seleccionar al residente y registrar el monto y período de pago</t>
  </si>
  <si>
    <t>REQ005-3</t>
  </si>
  <si>
    <t>REQ005-4</t>
  </si>
  <si>
    <t>REQ006-1</t>
  </si>
  <si>
    <t>REQ006-2</t>
  </si>
  <si>
    <t>REQ006-3</t>
  </si>
  <si>
    <t>Llevar un control claro de los ingresos por alícuotas y consultar el historial de pagos de cada residente</t>
  </si>
  <si>
    <t xml:space="preserve">Desarrollar la conexión en MongoDB para almacenar los pagos realizados </t>
  </si>
  <si>
    <t>Llevar un control claro de los ingresos generados por los arriendos</t>
  </si>
  <si>
    <t>Crear la interfaz de registro de pagos de alícuotas en Netbeans, lenguaje Java</t>
  </si>
  <si>
    <t>Crear la interfaz de registro de arriendos en NetBeans, lenguaje Java</t>
  </si>
  <si>
    <t>REQ006-4</t>
  </si>
  <si>
    <t>Implementar el formulario para registrar arriendos seleccionando residente, tipo de arriendo y valor del pago.</t>
  </si>
  <si>
    <t>Crear la conexión a la base de datos en MongoDB para almacenar los cobros registrados.</t>
  </si>
  <si>
    <t>diferenciar tipo de arriendo</t>
  </si>
  <si>
    <t>Crear la interfaz de registro de multas en NetBeans, lenguaje Java</t>
  </si>
  <si>
    <t>Crear la estructura de la colección en MongoDB y programar la conexión para almacenar las multas registradas.</t>
  </si>
  <si>
    <t>REQ007-1</t>
  </si>
  <si>
    <t>REQ007-2</t>
  </si>
  <si>
    <t>REQ007-3</t>
  </si>
  <si>
    <t>REQ007-4</t>
  </si>
  <si>
    <t>En proceso</t>
  </si>
  <si>
    <t xml:space="preserve">Mostrar los pagos registrados en el historial de cada residente en una tabla </t>
  </si>
  <si>
    <t>Mostrar el historial de arriendos y el total recaudado por cada tipo de arriendo en el sistema en diferentes tablas</t>
  </si>
  <si>
    <t>Configurar el catalogo con los tipos requeridos (asambleas, mingas, mascotas), junto con las tarifas base que defina el administrador</t>
  </si>
  <si>
    <t>Mostrar las multas registradas en una tabla</t>
  </si>
  <si>
    <t xml:space="preserve">
El proyecto inició con aproximadamente 18 horas estimadas, y durante los primeros días el avance real se mantuvo ligeramente por encima de la línea ideal, lo que refleja un ritmo de trabajo un poco más lento de lo previsto. Sin embargo, conforme avanzó el sprint, se evidenció una disminución constante de las horas restantes y una mejora en el rendimiento del equipo. En los últimos días, ambas líneas convergen hasta llegar a 0 horas, lo que indica que se logró completar el trabajo planificado dentro del tiempo establecido.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</si>
</sst>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x14ac:knownFonts="1">
    <font>
      <sz val="10"/>
      <color rgb="FF000000"/>
      <name val="Arial"/>
      <scheme val="minor"/>
    </font>
    <font>
      <sz val="10"/>
      <color theme="1"/>
      <name val="Arial"/>
      <family val="2"/>
    </font>
    <font>
      <sz val="11"/>
      <color rgb="FF000000"/>
      <name val="Inconsolata"/>
    </font>
    <font>
      <sz val="12"/>
      <color rgb="FF000000"/>
      <name val="Arial"/>
      <family val="2"/>
      <scheme val="minor"/>
    </font>
    <font>
      <b/>
      <sz val="10"/>
      <color rgb="FF000000"/>
      <name val="Arial"/>
      <family val="2"/>
      <scheme val="minor"/>
    </font>
    <font>
      <sz val="10"/>
      <color rgb="FF4A86E8"/>
      <name val="Arial"/>
      <family val="2"/>
      <scheme val="minor"/>
    </font>
    <font>
      <sz val="10"/>
      <color rgb="FF4472C4"/>
      <name val="Arial"/>
      <family val="2"/>
      <scheme val="minor"/>
    </font>
    <font>
      <sz val="10"/>
      <color rgb="FF000000"/>
      <name val="Arial"/>
      <family val="2"/>
      <scheme val="minor"/>
    </font>
    <font>
      <sz val="8"/>
      <name val="Arial"/>
      <scheme val="minor"/>
    </font>
    <font>
      <sz val="10"/>
      <color theme="4"/>
      <name val="Arial"/>
      <family val="2"/>
      <scheme val="minor"/>
    </font>
    <font>
      <sz val="10"/>
      <color theme="4"/>
      <name val="Calibri"/>
      <family val="2"/>
    </font>
    <font>
      <sz val="10"/>
      <color theme="4"/>
      <name val="Arial"/>
      <scheme val="minor"/>
    </font>
  </fonts>
  <fills count="7">
    <fill>
      <patternFill patternType="none"/>
    </fill>
    <fill>
      <patternFill patternType="gray125"/>
    </fill>
    <fill>
      <patternFill patternType="solid">
        <fgColor rgb="FFFFFFFF"/>
        <bgColor rgb="FFFFFFFF"/>
      </patternFill>
    </fill>
    <fill>
      <patternFill patternType="solid">
        <fgColor rgb="FFFFD966"/>
        <bgColor rgb="FFFFD966"/>
      </patternFill>
    </fill>
    <fill>
      <patternFill patternType="solid">
        <fgColor theme="7" tint="0.39997558519241921"/>
        <bgColor indexed="64"/>
      </patternFill>
    </fill>
    <fill>
      <patternFill patternType="solid">
        <fgColor rgb="FF00FF00"/>
        <bgColor indexed="64"/>
      </patternFill>
    </fill>
    <fill>
      <patternFill patternType="solid">
        <fgColor rgb="FF9FC5E8"/>
        <bgColor indexed="64"/>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medium">
        <color rgb="FFCCCCCC"/>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xf numFmtId="0" fontId="1" fillId="3" borderId="1" xfId="0" applyFont="1" applyFill="1" applyBorder="1"/>
    <xf numFmtId="0" fontId="1" fillId="0" borderId="1" xfId="0" applyFont="1" applyBorder="1"/>
    <xf numFmtId="0" fontId="2" fillId="2" borderId="1" xfId="0" applyFont="1" applyFill="1" applyBorder="1"/>
    <xf numFmtId="0" fontId="0" fillId="5" borderId="0" xfId="0" applyFill="1"/>
    <xf numFmtId="0" fontId="0" fillId="4" borderId="0" xfId="0" applyFill="1"/>
    <xf numFmtId="0" fontId="4" fillId="0" borderId="2" xfId="0" applyFont="1" applyBorder="1" applyAlignment="1">
      <alignment horizontal="center" wrapText="1"/>
    </xf>
    <xf numFmtId="0" fontId="4" fillId="0" borderId="3" xfId="0" applyFont="1" applyBorder="1" applyAlignment="1">
      <alignment horizontal="center" wrapText="1"/>
    </xf>
    <xf numFmtId="0" fontId="5" fillId="0" borderId="0" xfId="0" applyFont="1" applyAlignment="1">
      <alignment horizontal="center" wrapText="1"/>
    </xf>
    <xf numFmtId="0" fontId="9" fillId="0" borderId="3" xfId="0" applyFont="1" applyBorder="1" applyAlignment="1">
      <alignment horizontal="center" wrapText="1"/>
    </xf>
    <xf numFmtId="0" fontId="9" fillId="0" borderId="3" xfId="0" applyFont="1" applyBorder="1"/>
    <xf numFmtId="0" fontId="10" fillId="0" borderId="3" xfId="0" applyFont="1" applyBorder="1" applyAlignment="1">
      <alignment horizontal="center" wrapText="1"/>
    </xf>
    <xf numFmtId="0" fontId="11" fillId="0" borderId="3" xfId="0" applyFont="1" applyBorder="1"/>
    <xf numFmtId="0" fontId="4" fillId="0" borderId="0" xfId="0" applyFont="1" applyAlignment="1">
      <alignment horizontal="center" wrapText="1"/>
    </xf>
    <xf numFmtId="0" fontId="7" fillId="6" borderId="0" xfId="0" applyFont="1" applyFill="1" applyAlignment="1">
      <alignment wrapText="1"/>
    </xf>
    <xf numFmtId="0" fontId="7" fillId="0" borderId="0" xfId="0" applyFont="1" applyAlignment="1">
      <alignment wrapText="1"/>
    </xf>
    <xf numFmtId="0" fontId="4" fillId="0" borderId="0" xfId="0" applyFont="1" applyAlignment="1">
      <alignment wrapText="1"/>
    </xf>
    <xf numFmtId="0" fontId="6" fillId="0" borderId="0" xfId="0" applyFont="1" applyAlignment="1">
      <alignment wrapText="1"/>
    </xf>
    <xf numFmtId="0" fontId="6" fillId="0" borderId="0" xfId="0" applyFont="1" applyAlignment="1">
      <alignment horizontal="right" wrapText="1"/>
    </xf>
    <xf numFmtId="0" fontId="7" fillId="0" borderId="0" xfId="0" applyFont="1" applyAlignment="1">
      <alignment vertical="center"/>
    </xf>
    <xf numFmtId="0" fontId="7" fillId="0" borderId="0" xfId="0" applyFont="1"/>
    <xf numFmtId="0" fontId="7" fillId="0" borderId="0" xfId="0" applyFont="1" applyAlignment="1">
      <alignment wrapText="1"/>
    </xf>
    <xf numFmtId="0" fontId="7" fillId="0" borderId="0" xfId="0" applyFont="1" applyAlignment="1">
      <alignment vertical="center"/>
    </xf>
    <xf numFmtId="0" fontId="3" fillId="0" borderId="0" xfId="0" applyFont="1" applyAlignment="1">
      <alignment horizontal="left" vertical="center" wrapText="1"/>
    </xf>
  </cellXfs>
  <cellStyles count="1">
    <cellStyle name="Normal" xfId="0" builtinId="0"/>
  </cellStyles>
  <dxfs count="5">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burdonchart-style" pivot="0" count="3" xr9:uid="{00000000-0011-0000-FFFF-FFFF00000000}">
      <tableStyleElement type="headerRow" dxfId="4"/>
      <tableStyleElement type="firstRowStripe" dxfId="3"/>
      <tableStyleElement type="secondRowStripe" dxfId="2"/>
    </tableStyle>
    <tableStyle name="burdonchart-style 2" pivot="0" count="2" xr9:uid="{00000000-0011-0000-FFFF-FFFF01000000}">
      <tableStyleElement type="firstRowStripe" dxfId="1"/>
      <tableStyleElement type="secondRowStripe" dxfId="0"/>
    </tableStyle>
  </tableStyles>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autoTitleDeleted val="1"/>
    <c:plotArea>
      <c:layout>
        <c:manualLayout>
          <c:layoutTarget val="inner"/>
          <c:xMode val="edge"/>
          <c:yMode val="edge"/>
          <c:x val="0.10878442708739748"/>
          <c:y val="5.9575003594018003E-2"/>
          <c:w val="0.71638705161854765"/>
          <c:h val="0.86882300089847264"/>
        </c:manualLayout>
      </c:layout>
      <c:lineChart>
        <c:grouping val="standard"/>
        <c:varyColors val="1"/>
        <c:ser>
          <c:idx val="0"/>
          <c:order val="0"/>
          <c:spPr>
            <a:ln cmpd="sng">
              <a:solidFill>
                <a:srgbClr val="3366CC"/>
              </a:solidFill>
            </a:ln>
          </c:spPr>
          <c:marker>
            <c:symbol val="none"/>
          </c:marker>
          <c:val>
            <c:numRef>
              <c:f>burdonchart!$B$8:$J$8</c:f>
              <c:numCache>
                <c:formatCode>General</c:formatCode>
                <c:ptCount val="9"/>
                <c:pt idx="0">
                  <c:v>0</c:v>
                </c:pt>
                <c:pt idx="1">
                  <c:v>18</c:v>
                </c:pt>
                <c:pt idx="2">
                  <c:v>18</c:v>
                </c:pt>
                <c:pt idx="3">
                  <c:v>17</c:v>
                </c:pt>
                <c:pt idx="4">
                  <c:v>15</c:v>
                </c:pt>
                <c:pt idx="5">
                  <c:v>11</c:v>
                </c:pt>
                <c:pt idx="6">
                  <c:v>8</c:v>
                </c:pt>
                <c:pt idx="7">
                  <c:v>2</c:v>
                </c:pt>
                <c:pt idx="8">
                  <c:v>0</c:v>
                </c:pt>
              </c:numCache>
            </c:numRef>
          </c:val>
          <c:smooth val="0"/>
          <c:extLst>
            <c:ext xmlns:c16="http://schemas.microsoft.com/office/drawing/2014/chart" uri="{C3380CC4-5D6E-409C-BE32-E72D297353CC}">
              <c16:uniqueId val="{00000000-EB09-4C3D-AE3A-D603C95EF801}"/>
            </c:ext>
          </c:extLst>
        </c:ser>
        <c:ser>
          <c:idx val="1"/>
          <c:order val="1"/>
          <c:spPr>
            <a:ln cmpd="sng">
              <a:solidFill>
                <a:srgbClr val="DC3912"/>
              </a:solidFill>
            </a:ln>
          </c:spPr>
          <c:marker>
            <c:symbol val="none"/>
          </c:marker>
          <c:val>
            <c:numRef>
              <c:f>burdonchart!$B$9:$J$9</c:f>
              <c:numCache>
                <c:formatCode>General</c:formatCode>
                <c:ptCount val="9"/>
                <c:pt idx="0">
                  <c:v>0</c:v>
                </c:pt>
                <c:pt idx="1">
                  <c:v>18</c:v>
                </c:pt>
                <c:pt idx="2">
                  <c:v>15.428571428571429</c:v>
                </c:pt>
                <c:pt idx="3">
                  <c:v>12.857142857142858</c:v>
                </c:pt>
                <c:pt idx="4">
                  <c:v>10.285714285714286</c:v>
                </c:pt>
                <c:pt idx="5">
                  <c:v>7.7142857142857153</c:v>
                </c:pt>
                <c:pt idx="6">
                  <c:v>5.1428571428571441</c:v>
                </c:pt>
                <c:pt idx="7">
                  <c:v>2.5714285714285725</c:v>
                </c:pt>
                <c:pt idx="8">
                  <c:v>0</c:v>
                </c:pt>
              </c:numCache>
            </c:numRef>
          </c:val>
          <c:smooth val="0"/>
          <c:extLst>
            <c:ext xmlns:c16="http://schemas.microsoft.com/office/drawing/2014/chart" uri="{C3380CC4-5D6E-409C-BE32-E72D297353CC}">
              <c16:uniqueId val="{00000001-EB09-4C3D-AE3A-D603C95EF801}"/>
            </c:ext>
          </c:extLst>
        </c:ser>
        <c:dLbls>
          <c:showLegendKey val="0"/>
          <c:showVal val="0"/>
          <c:showCatName val="0"/>
          <c:showSerName val="0"/>
          <c:showPercent val="0"/>
          <c:showBubbleSize val="0"/>
        </c:dLbls>
        <c:smooth val="0"/>
        <c:axId val="121089006"/>
        <c:axId val="1777883363"/>
      </c:lineChart>
      <c:catAx>
        <c:axId val="121089006"/>
        <c:scaling>
          <c:orientation val="minMax"/>
        </c:scaling>
        <c:delete val="0"/>
        <c:axPos val="b"/>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txPr>
          <a:bodyPr/>
          <a:lstStyle/>
          <a:p>
            <a:pPr lvl="0">
              <a:defRPr b="0" i="0">
                <a:solidFill>
                  <a:srgbClr val="000000"/>
                </a:solidFill>
                <a:latin typeface="Roboto"/>
              </a:defRPr>
            </a:pPr>
            <a:endParaRPr lang="es-EC"/>
          </a:p>
        </c:txPr>
        <c:crossAx val="1777883363"/>
        <c:crosses val="autoZero"/>
        <c:auto val="1"/>
        <c:lblAlgn val="ctr"/>
        <c:lblOffset val="100"/>
        <c:noMultiLvlLbl val="1"/>
      </c:catAx>
      <c:valAx>
        <c:axId val="17778833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s-EC"/>
              </a:p>
            </c:rich>
          </c:tx>
          <c:overlay val="0"/>
        </c:title>
        <c:numFmt formatCode="General" sourceLinked="1"/>
        <c:majorTickMark val="none"/>
        <c:minorTickMark val="none"/>
        <c:tickLblPos val="nextTo"/>
        <c:spPr>
          <a:ln/>
        </c:spPr>
        <c:txPr>
          <a:bodyPr/>
          <a:lstStyle/>
          <a:p>
            <a:pPr lvl="0">
              <a:defRPr b="0" i="0">
                <a:solidFill>
                  <a:srgbClr val="000000"/>
                </a:solidFill>
                <a:latin typeface="Roboto"/>
              </a:defRPr>
            </a:pPr>
            <a:endParaRPr lang="es-EC"/>
          </a:p>
        </c:txPr>
        <c:crossAx val="121089006"/>
        <c:crosses val="autoZero"/>
        <c:crossBetween val="between"/>
      </c:valAx>
    </c:plotArea>
    <c:legend>
      <c:legendPos val="r"/>
      <c:overlay val="0"/>
      <c:txPr>
        <a:bodyPr/>
        <a:lstStyle/>
        <a:p>
          <a:pPr lvl="0">
            <a:defRPr b="0" i="0">
              <a:solidFill>
                <a:srgbClr val="000000"/>
              </a:solidFill>
              <a:latin typeface="Roboto"/>
            </a:defRPr>
          </a:pPr>
          <a:endParaRPr lang="es-EC"/>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91186</xdr:colOff>
      <xdr:row>10</xdr:row>
      <xdr:rowOff>17410</xdr:rowOff>
    </xdr:from>
    <xdr:ext cx="8056558" cy="4937695"/>
    <xdr:graphicFrame macro="">
      <xdr:nvGraphicFramePr>
        <xdr:cNvPr id="2" name="Chart 1" title="Gráfico">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H993"/>
  <sheetViews>
    <sheetView tabSelected="1" zoomScale="107" zoomScaleNormal="80" workbookViewId="0">
      <selection activeCell="B12" sqref="B12"/>
    </sheetView>
  </sheetViews>
  <sheetFormatPr baseColWidth="10" defaultColWidth="12.5546875" defaultRowHeight="15" customHeight="1" x14ac:dyDescent="0.25"/>
  <cols>
    <col min="1" max="1" width="8.33203125" customWidth="1"/>
    <col min="2" max="2" width="57.21875" customWidth="1"/>
    <col min="3" max="3" width="13.44140625" customWidth="1"/>
    <col min="4" max="4" width="77.33203125" customWidth="1"/>
    <col min="5" max="5" width="84.21875" customWidth="1"/>
    <col min="6" max="6" width="59.44140625" bestFit="1" customWidth="1"/>
  </cols>
  <sheetData>
    <row r="2" spans="1:8" ht="15.75" customHeight="1" x14ac:dyDescent="0.25">
      <c r="A2" s="8" t="s">
        <v>9</v>
      </c>
      <c r="B2" s="8" t="s">
        <v>0</v>
      </c>
      <c r="C2" s="8" t="s">
        <v>1</v>
      </c>
      <c r="D2" s="8" t="s">
        <v>2</v>
      </c>
      <c r="E2" s="8" t="s">
        <v>3</v>
      </c>
      <c r="F2" s="8" t="s">
        <v>4</v>
      </c>
      <c r="G2" s="8" t="s">
        <v>5</v>
      </c>
      <c r="H2" s="8" t="s">
        <v>6</v>
      </c>
    </row>
    <row r="3" spans="1:8" ht="15.75" customHeight="1" x14ac:dyDescent="0.3">
      <c r="A3" s="11" t="s">
        <v>30</v>
      </c>
      <c r="B3" s="13" t="s">
        <v>34</v>
      </c>
      <c r="C3" s="10" t="s">
        <v>8</v>
      </c>
      <c r="D3" s="11" t="s">
        <v>35</v>
      </c>
      <c r="E3" s="13" t="s">
        <v>36</v>
      </c>
      <c r="F3" s="13"/>
      <c r="G3" s="12" t="s">
        <v>7</v>
      </c>
      <c r="H3" s="12" t="s">
        <v>33</v>
      </c>
    </row>
    <row r="4" spans="1:8" ht="15.75" customHeight="1" x14ac:dyDescent="0.3">
      <c r="A4" s="11" t="s">
        <v>31</v>
      </c>
      <c r="B4" s="11" t="s">
        <v>37</v>
      </c>
      <c r="C4" s="10" t="s">
        <v>8</v>
      </c>
      <c r="D4" s="11" t="s">
        <v>38</v>
      </c>
      <c r="E4" s="11" t="s">
        <v>39</v>
      </c>
      <c r="F4" s="13" t="s">
        <v>40</v>
      </c>
      <c r="G4" s="12" t="s">
        <v>7</v>
      </c>
      <c r="H4" s="12" t="s">
        <v>33</v>
      </c>
    </row>
    <row r="5" spans="1:8" ht="15.75" customHeight="1" x14ac:dyDescent="0.3">
      <c r="A5" s="11" t="s">
        <v>32</v>
      </c>
      <c r="B5" s="13" t="s">
        <v>41</v>
      </c>
      <c r="C5" s="10" t="s">
        <v>8</v>
      </c>
      <c r="D5" s="11" t="s">
        <v>42</v>
      </c>
      <c r="E5" s="13" t="s">
        <v>43</v>
      </c>
      <c r="F5" s="13"/>
      <c r="G5" s="12" t="s">
        <v>7</v>
      </c>
      <c r="H5" s="12" t="s">
        <v>33</v>
      </c>
    </row>
    <row r="6" spans="1:8" ht="15.75" customHeight="1" x14ac:dyDescent="0.25">
      <c r="C6" s="9"/>
    </row>
    <row r="7" spans="1:8" ht="15.75" customHeight="1" x14ac:dyDescent="0.25"/>
    <row r="8" spans="1:8" ht="15.75" customHeight="1" x14ac:dyDescent="0.25"/>
    <row r="9" spans="1:8" ht="15.75" customHeight="1" x14ac:dyDescent="0.25"/>
    <row r="10" spans="1:8" ht="15.75" customHeight="1" thickBot="1" x14ac:dyDescent="0.3"/>
    <row r="11" spans="1:8" ht="15.75" customHeight="1" thickBot="1" x14ac:dyDescent="0.3">
      <c r="C11" s="7"/>
    </row>
    <row r="12" spans="1:8" ht="15.75" customHeight="1" x14ac:dyDescent="0.25"/>
    <row r="13" spans="1:8" ht="15.75" customHeight="1" x14ac:dyDescent="0.25"/>
    <row r="14" spans="1:8" ht="15.75" customHeight="1" x14ac:dyDescent="0.25"/>
    <row r="15" spans="1:8" ht="15.75" customHeight="1" x14ac:dyDescent="0.25"/>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8" type="noConversion"/>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9B85A-B11A-4D97-AE2D-200A2A121A7F}">
  <dimension ref="B4:I24"/>
  <sheetViews>
    <sheetView zoomScale="90" zoomScaleNormal="90" workbookViewId="0">
      <selection activeCell="H25" sqref="H25"/>
    </sheetView>
  </sheetViews>
  <sheetFormatPr baseColWidth="10" defaultRowHeight="13.2" x14ac:dyDescent="0.25"/>
  <cols>
    <col min="1" max="1" width="11.5546875" customWidth="1"/>
    <col min="2" max="2" width="12.6640625" customWidth="1"/>
    <col min="3" max="3" width="65.6640625" customWidth="1"/>
    <col min="4" max="4" width="18.77734375" customWidth="1"/>
    <col min="5" max="5" width="68.5546875" customWidth="1"/>
    <col min="6" max="6" width="90.44140625" customWidth="1"/>
    <col min="7" max="7" width="27.6640625" customWidth="1"/>
    <col min="8" max="8" width="18" customWidth="1"/>
    <col min="9" max="9" width="14.5546875" customWidth="1"/>
  </cols>
  <sheetData>
    <row r="4" spans="2:9" x14ac:dyDescent="0.25">
      <c r="B4" s="14" t="s">
        <v>9</v>
      </c>
      <c r="C4" s="14" t="s">
        <v>0</v>
      </c>
      <c r="D4" s="14" t="s">
        <v>1</v>
      </c>
      <c r="E4" s="14" t="s">
        <v>10</v>
      </c>
      <c r="F4" s="14" t="s">
        <v>11</v>
      </c>
      <c r="G4" s="14" t="s">
        <v>4</v>
      </c>
      <c r="H4" s="14" t="s">
        <v>12</v>
      </c>
      <c r="I4" s="14" t="s">
        <v>13</v>
      </c>
    </row>
    <row r="5" spans="2:9" ht="15.6" customHeight="1" x14ac:dyDescent="0.25">
      <c r="B5" s="15" t="s">
        <v>30</v>
      </c>
      <c r="C5" s="15" t="s">
        <v>34</v>
      </c>
      <c r="D5" s="15" t="s">
        <v>8</v>
      </c>
      <c r="E5" s="15" t="s">
        <v>35</v>
      </c>
      <c r="F5" s="15" t="s">
        <v>52</v>
      </c>
      <c r="G5" s="15"/>
      <c r="H5" s="15" t="s">
        <v>7</v>
      </c>
      <c r="I5" s="15" t="s">
        <v>67</v>
      </c>
    </row>
    <row r="6" spans="2:9" x14ac:dyDescent="0.25">
      <c r="B6" s="16"/>
      <c r="C6" s="17" t="s">
        <v>14</v>
      </c>
      <c r="D6" s="17"/>
      <c r="E6" s="17"/>
      <c r="F6" s="17"/>
      <c r="G6" s="17" t="s">
        <v>15</v>
      </c>
      <c r="H6" s="17"/>
      <c r="I6" s="17" t="s">
        <v>16</v>
      </c>
    </row>
    <row r="7" spans="2:9" ht="13.2" customHeight="1" x14ac:dyDescent="0.25">
      <c r="B7" s="18" t="s">
        <v>44</v>
      </c>
      <c r="C7" s="22" t="s">
        <v>55</v>
      </c>
      <c r="D7" s="22"/>
      <c r="E7" s="22"/>
      <c r="F7" s="22"/>
      <c r="G7" s="16" t="s">
        <v>27</v>
      </c>
      <c r="H7" s="16"/>
      <c r="I7" s="19">
        <v>2</v>
      </c>
    </row>
    <row r="8" spans="2:9" ht="16.2" customHeight="1" x14ac:dyDescent="0.25">
      <c r="B8" s="18" t="s">
        <v>45</v>
      </c>
      <c r="C8" s="23" t="s">
        <v>46</v>
      </c>
      <c r="D8" s="23"/>
      <c r="E8" s="23"/>
      <c r="F8" s="23"/>
      <c r="G8" s="16" t="s">
        <v>27</v>
      </c>
      <c r="H8" s="16"/>
      <c r="I8" s="19">
        <v>2</v>
      </c>
    </row>
    <row r="9" spans="2:9" ht="15" customHeight="1" x14ac:dyDescent="0.25">
      <c r="B9" s="18" t="s">
        <v>47</v>
      </c>
      <c r="C9" s="20" t="s">
        <v>53</v>
      </c>
      <c r="D9" s="20"/>
      <c r="E9" s="20"/>
      <c r="F9" s="20"/>
      <c r="G9" s="16" t="s">
        <v>27</v>
      </c>
      <c r="H9" s="16"/>
      <c r="I9" s="19">
        <v>1</v>
      </c>
    </row>
    <row r="10" spans="2:9" ht="14.4" customHeight="1" x14ac:dyDescent="0.25">
      <c r="B10" s="18" t="s">
        <v>48</v>
      </c>
      <c r="C10" s="22" t="s">
        <v>68</v>
      </c>
      <c r="D10" s="22"/>
      <c r="E10" s="22"/>
      <c r="F10" s="22"/>
      <c r="G10" s="16" t="s">
        <v>27</v>
      </c>
      <c r="H10" s="16"/>
      <c r="I10" s="19">
        <v>1</v>
      </c>
    </row>
    <row r="11" spans="2:9" ht="13.8" customHeight="1" x14ac:dyDescent="0.25">
      <c r="B11" s="18"/>
      <c r="C11" s="22"/>
      <c r="D11" s="22"/>
      <c r="E11" s="22"/>
      <c r="F11" s="22"/>
      <c r="G11" s="16"/>
      <c r="H11" s="16"/>
      <c r="I11" s="16"/>
    </row>
    <row r="12" spans="2:9" ht="15.6" customHeight="1" x14ac:dyDescent="0.25">
      <c r="B12" s="15" t="s">
        <v>31</v>
      </c>
      <c r="C12" s="15" t="s">
        <v>37</v>
      </c>
      <c r="D12" s="15" t="s">
        <v>8</v>
      </c>
      <c r="E12" s="15" t="s">
        <v>38</v>
      </c>
      <c r="F12" s="15" t="s">
        <v>54</v>
      </c>
      <c r="G12" s="15" t="s">
        <v>60</v>
      </c>
      <c r="H12" s="15" t="s">
        <v>7</v>
      </c>
      <c r="I12" s="15" t="s">
        <v>67</v>
      </c>
    </row>
    <row r="13" spans="2:9" ht="15" customHeight="1" x14ac:dyDescent="0.25">
      <c r="B13" s="16"/>
      <c r="C13" s="17" t="s">
        <v>14</v>
      </c>
      <c r="D13" s="17"/>
      <c r="E13" s="17"/>
      <c r="F13" s="17"/>
      <c r="G13" s="17" t="s">
        <v>15</v>
      </c>
      <c r="H13" s="17"/>
      <c r="I13" s="17" t="s">
        <v>16</v>
      </c>
    </row>
    <row r="14" spans="2:9" ht="13.8" customHeight="1" x14ac:dyDescent="0.25">
      <c r="B14" s="18" t="s">
        <v>49</v>
      </c>
      <c r="C14" s="22" t="s">
        <v>56</v>
      </c>
      <c r="D14" s="22"/>
      <c r="E14" s="22"/>
      <c r="F14" s="22"/>
      <c r="G14" s="16" t="s">
        <v>28</v>
      </c>
      <c r="H14" s="16"/>
      <c r="I14" s="19">
        <v>2</v>
      </c>
    </row>
    <row r="15" spans="2:9" ht="14.4" customHeight="1" x14ac:dyDescent="0.25">
      <c r="B15" s="18" t="s">
        <v>50</v>
      </c>
      <c r="C15" s="23" t="s">
        <v>58</v>
      </c>
      <c r="D15" s="23"/>
      <c r="E15" s="23"/>
      <c r="F15" s="23"/>
      <c r="G15" s="16" t="s">
        <v>28</v>
      </c>
      <c r="H15" s="16"/>
      <c r="I15" s="19">
        <v>2</v>
      </c>
    </row>
    <row r="16" spans="2:9" ht="13.2" customHeight="1" x14ac:dyDescent="0.25">
      <c r="B16" s="18" t="s">
        <v>51</v>
      </c>
      <c r="C16" s="22" t="s">
        <v>59</v>
      </c>
      <c r="D16" s="22"/>
      <c r="E16" s="22"/>
      <c r="F16" s="22"/>
      <c r="G16" s="16" t="s">
        <v>28</v>
      </c>
      <c r="H16" s="16"/>
      <c r="I16" s="19">
        <v>1</v>
      </c>
    </row>
    <row r="17" spans="2:9" x14ac:dyDescent="0.25">
      <c r="B17" s="18" t="s">
        <v>57</v>
      </c>
      <c r="C17" t="s">
        <v>69</v>
      </c>
      <c r="G17" s="16" t="s">
        <v>28</v>
      </c>
      <c r="I17" s="19">
        <v>1</v>
      </c>
    </row>
    <row r="19" spans="2:9" x14ac:dyDescent="0.25">
      <c r="B19" s="15" t="s">
        <v>32</v>
      </c>
      <c r="C19" s="15" t="s">
        <v>41</v>
      </c>
      <c r="D19" s="15" t="s">
        <v>8</v>
      </c>
      <c r="E19" s="15" t="s">
        <v>42</v>
      </c>
      <c r="F19" s="15" t="s">
        <v>43</v>
      </c>
      <c r="G19" s="15"/>
      <c r="H19" s="15" t="s">
        <v>7</v>
      </c>
      <c r="I19" s="15" t="s">
        <v>67</v>
      </c>
    </row>
    <row r="20" spans="2:9" x14ac:dyDescent="0.25">
      <c r="B20" s="16"/>
      <c r="C20" s="17" t="s">
        <v>14</v>
      </c>
      <c r="D20" s="17"/>
      <c r="E20" s="17"/>
      <c r="F20" s="17"/>
      <c r="G20" s="17" t="s">
        <v>15</v>
      </c>
      <c r="H20" s="17"/>
      <c r="I20" s="17" t="s">
        <v>16</v>
      </c>
    </row>
    <row r="21" spans="2:9" x14ac:dyDescent="0.25">
      <c r="B21" s="18" t="s">
        <v>63</v>
      </c>
      <c r="C21" s="22" t="s">
        <v>61</v>
      </c>
      <c r="D21" s="22"/>
      <c r="E21" s="22"/>
      <c r="F21" s="22"/>
      <c r="G21" s="16" t="s">
        <v>29</v>
      </c>
      <c r="H21" s="16"/>
      <c r="I21" s="19">
        <v>1</v>
      </c>
    </row>
    <row r="22" spans="2:9" x14ac:dyDescent="0.25">
      <c r="B22" s="18" t="s">
        <v>64</v>
      </c>
      <c r="C22" s="23" t="s">
        <v>70</v>
      </c>
      <c r="D22" s="23"/>
      <c r="E22" s="23"/>
      <c r="F22" s="23"/>
      <c r="G22" s="16" t="s">
        <v>29</v>
      </c>
      <c r="H22" s="16"/>
      <c r="I22" s="19">
        <v>3</v>
      </c>
    </row>
    <row r="23" spans="2:9" x14ac:dyDescent="0.25">
      <c r="B23" s="18" t="s">
        <v>65</v>
      </c>
      <c r="C23" s="22" t="s">
        <v>62</v>
      </c>
      <c r="D23" s="22"/>
      <c r="E23" s="22"/>
      <c r="F23" s="22"/>
      <c r="G23" s="16" t="s">
        <v>29</v>
      </c>
      <c r="H23" s="16"/>
      <c r="I23" s="19">
        <v>1</v>
      </c>
    </row>
    <row r="24" spans="2:9" x14ac:dyDescent="0.25">
      <c r="B24" s="18" t="s">
        <v>66</v>
      </c>
      <c r="C24" s="21" t="s">
        <v>71</v>
      </c>
      <c r="G24" s="16" t="s">
        <v>29</v>
      </c>
      <c r="I24" s="19">
        <v>1</v>
      </c>
    </row>
  </sheetData>
  <mergeCells count="10">
    <mergeCell ref="C21:F21"/>
    <mergeCell ref="C22:F22"/>
    <mergeCell ref="C23:F23"/>
    <mergeCell ref="C15:F15"/>
    <mergeCell ref="C16:F16"/>
    <mergeCell ref="C7:F7"/>
    <mergeCell ref="C8:F8"/>
    <mergeCell ref="C10:F10"/>
    <mergeCell ref="C11:F11"/>
    <mergeCell ref="C14:F1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981"/>
  <sheetViews>
    <sheetView zoomScale="60" zoomScaleNormal="60" workbookViewId="0">
      <selection activeCell="A33" sqref="A33"/>
    </sheetView>
  </sheetViews>
  <sheetFormatPr baseColWidth="10" defaultColWidth="12.5546875" defaultRowHeight="15" customHeight="1" x14ac:dyDescent="0.25"/>
  <cols>
    <col min="1" max="1" width="12.5546875" customWidth="1"/>
    <col min="2" max="2" width="24.6640625" customWidth="1"/>
    <col min="3" max="3" width="12.5546875" customWidth="1"/>
    <col min="4" max="4" width="11.109375" customWidth="1"/>
    <col min="5" max="8" width="12.5546875" customWidth="1"/>
  </cols>
  <sheetData>
    <row r="1" spans="1:11" ht="15.75" customHeight="1" x14ac:dyDescent="0.25"/>
    <row r="2" spans="1:11" ht="15.75" customHeight="1" x14ac:dyDescent="0.25"/>
    <row r="3" spans="1:11" ht="15.75" customHeight="1" x14ac:dyDescent="0.25">
      <c r="B3" s="1"/>
      <c r="C3" s="1" t="s">
        <v>16</v>
      </c>
      <c r="D3" s="1" t="s">
        <v>17</v>
      </c>
      <c r="E3" s="1" t="s">
        <v>18</v>
      </c>
      <c r="F3" s="1" t="s">
        <v>19</v>
      </c>
      <c r="G3" s="1" t="s">
        <v>20</v>
      </c>
      <c r="H3" s="1" t="s">
        <v>21</v>
      </c>
      <c r="I3" s="1" t="s">
        <v>22</v>
      </c>
      <c r="J3" s="1" t="s">
        <v>23</v>
      </c>
      <c r="K3" s="1" t="s">
        <v>24</v>
      </c>
    </row>
    <row r="4" spans="1:11" ht="15.75" customHeight="1" x14ac:dyDescent="0.25">
      <c r="A4" s="1"/>
      <c r="B4" t="s">
        <v>30</v>
      </c>
      <c r="C4" s="6">
        <v>6</v>
      </c>
      <c r="D4">
        <v>0</v>
      </c>
      <c r="E4">
        <v>0</v>
      </c>
      <c r="F4">
        <v>1</v>
      </c>
      <c r="G4">
        <v>1</v>
      </c>
      <c r="H4">
        <v>1</v>
      </c>
      <c r="I4">
        <v>3</v>
      </c>
      <c r="J4">
        <v>0</v>
      </c>
      <c r="K4" s="5">
        <v>6</v>
      </c>
    </row>
    <row r="5" spans="1:11" ht="15.75" customHeight="1" x14ac:dyDescent="0.25">
      <c r="A5" s="1"/>
      <c r="B5" t="s">
        <v>31</v>
      </c>
      <c r="C5" s="6">
        <v>6</v>
      </c>
      <c r="D5">
        <v>0</v>
      </c>
      <c r="E5">
        <v>0</v>
      </c>
      <c r="F5">
        <v>0</v>
      </c>
      <c r="G5">
        <v>2</v>
      </c>
      <c r="H5">
        <v>1</v>
      </c>
      <c r="I5">
        <v>2</v>
      </c>
      <c r="J5">
        <v>1</v>
      </c>
      <c r="K5" s="5">
        <v>6</v>
      </c>
    </row>
    <row r="6" spans="1:11" ht="15.75" customHeight="1" x14ac:dyDescent="0.25">
      <c r="A6" s="1"/>
      <c r="B6" t="s">
        <v>32</v>
      </c>
      <c r="C6" s="6">
        <v>6</v>
      </c>
      <c r="D6">
        <v>0</v>
      </c>
      <c r="E6">
        <v>1</v>
      </c>
      <c r="F6">
        <v>1</v>
      </c>
      <c r="G6">
        <v>1</v>
      </c>
      <c r="H6">
        <v>1</v>
      </c>
      <c r="I6">
        <v>1</v>
      </c>
      <c r="J6">
        <v>1</v>
      </c>
      <c r="K6" s="5">
        <v>6</v>
      </c>
    </row>
    <row r="7" spans="1:11" ht="15.75" customHeight="1" x14ac:dyDescent="0.25"/>
    <row r="8" spans="1:11" ht="15.75" customHeight="1" x14ac:dyDescent="0.45">
      <c r="B8" s="2" t="s">
        <v>25</v>
      </c>
      <c r="C8" s="3">
        <f>SUM(C4:C6)</f>
        <v>18</v>
      </c>
      <c r="D8" s="3">
        <f>C8-SUM(D4:D6)</f>
        <v>18</v>
      </c>
      <c r="E8" s="4">
        <f>D8-SUM(E4:E6)</f>
        <v>17</v>
      </c>
      <c r="F8" s="3">
        <f>E8-SUM(F4:F6)</f>
        <v>15</v>
      </c>
      <c r="G8" s="3">
        <f>F8-SUM(G4:G6)</f>
        <v>11</v>
      </c>
      <c r="H8" s="3">
        <f>G8-SUM(H4:H6)</f>
        <v>8</v>
      </c>
      <c r="I8" s="3">
        <f>H8-SUM(I4:I6)</f>
        <v>2</v>
      </c>
      <c r="J8" s="3">
        <f>I8-SUM(J4:J6)</f>
        <v>0</v>
      </c>
    </row>
    <row r="9" spans="1:11" ht="15.75" customHeight="1" x14ac:dyDescent="0.45">
      <c r="B9" s="2" t="s">
        <v>26</v>
      </c>
      <c r="C9" s="3">
        <f>SUM(C4:C6)</f>
        <v>18</v>
      </c>
      <c r="D9" s="3">
        <f>C9-(SUM(C4:C6)/7)</f>
        <v>15.428571428571429</v>
      </c>
      <c r="E9" s="4">
        <f>D9-(SUM(C4:C6)/7)</f>
        <v>12.857142857142858</v>
      </c>
      <c r="F9" s="3">
        <f>E9-(SUM(C4:C6)/7)</f>
        <v>10.285714285714286</v>
      </c>
      <c r="G9" s="3">
        <f>F9-(SUM(C4:C6)/7)</f>
        <v>7.7142857142857153</v>
      </c>
      <c r="H9" s="3">
        <f>G9-(SUM(C4:C6)/7)</f>
        <v>5.1428571428571441</v>
      </c>
      <c r="I9" s="3">
        <f>H9-(SUM(C4:C6)/7)</f>
        <v>2.5714285714285725</v>
      </c>
      <c r="J9" s="3">
        <f>I9-(SUM(C4:C6)/7)</f>
        <v>0</v>
      </c>
    </row>
    <row r="10" spans="1:11" ht="15.75" customHeight="1" x14ac:dyDescent="0.25"/>
    <row r="11" spans="1:11" ht="15.75" customHeight="1" x14ac:dyDescent="0.25"/>
    <row r="12" spans="1:11" ht="15.75" customHeight="1" x14ac:dyDescent="0.25"/>
    <row r="13" spans="1:11" ht="15.75" customHeight="1" x14ac:dyDescent="0.25"/>
    <row r="14" spans="1:11" ht="15.75" customHeight="1" x14ac:dyDescent="0.25"/>
    <row r="15" spans="1:11" ht="15.75" customHeight="1" x14ac:dyDescent="0.25"/>
    <row r="16" spans="1:11" ht="15.75" customHeight="1" x14ac:dyDescent="0.25"/>
    <row r="17" spans="2:5" ht="15.75" customHeight="1" x14ac:dyDescent="0.25"/>
    <row r="18" spans="2:5" ht="15.75" customHeight="1" x14ac:dyDescent="0.25">
      <c r="B18" s="24" t="s">
        <v>72</v>
      </c>
      <c r="C18" s="24"/>
      <c r="D18" s="24"/>
      <c r="E18" s="24"/>
    </row>
    <row r="19" spans="2:5" ht="15.75" customHeight="1" x14ac:dyDescent="0.25">
      <c r="B19" s="24"/>
      <c r="C19" s="24"/>
      <c r="D19" s="24"/>
      <c r="E19" s="24"/>
    </row>
    <row r="20" spans="2:5" ht="15.75" customHeight="1" x14ac:dyDescent="0.25">
      <c r="B20" s="24"/>
      <c r="C20" s="24"/>
      <c r="D20" s="24"/>
      <c r="E20" s="24"/>
    </row>
    <row r="21" spans="2:5" ht="15.75" customHeight="1" x14ac:dyDescent="0.25">
      <c r="B21" s="24"/>
      <c r="C21" s="24"/>
      <c r="D21" s="24"/>
      <c r="E21" s="24"/>
    </row>
    <row r="22" spans="2:5" ht="15.75" customHeight="1" x14ac:dyDescent="0.25">
      <c r="B22" s="24"/>
      <c r="C22" s="24"/>
      <c r="D22" s="24"/>
      <c r="E22" s="24"/>
    </row>
    <row r="23" spans="2:5" ht="15.75" customHeight="1" x14ac:dyDescent="0.25">
      <c r="B23" s="24"/>
      <c r="C23" s="24"/>
      <c r="D23" s="24"/>
      <c r="E23" s="24"/>
    </row>
    <row r="24" spans="2:5" ht="15.75" customHeight="1" x14ac:dyDescent="0.25">
      <c r="B24" s="24"/>
      <c r="C24" s="24"/>
      <c r="D24" s="24"/>
      <c r="E24" s="24"/>
    </row>
    <row r="25" spans="2:5" ht="15.75" customHeight="1" x14ac:dyDescent="0.25">
      <c r="B25" s="24"/>
      <c r="C25" s="24"/>
      <c r="D25" s="24"/>
      <c r="E25" s="24"/>
    </row>
    <row r="26" spans="2:5" ht="15.75" customHeight="1" x14ac:dyDescent="0.25">
      <c r="B26" s="24"/>
      <c r="C26" s="24"/>
      <c r="D26" s="24"/>
      <c r="E26" s="24"/>
    </row>
    <row r="27" spans="2:5" ht="15.75" customHeight="1" x14ac:dyDescent="0.25">
      <c r="B27" s="24"/>
      <c r="C27" s="24"/>
      <c r="D27" s="24"/>
      <c r="E27" s="24"/>
    </row>
    <row r="28" spans="2:5" ht="31.8" customHeight="1" x14ac:dyDescent="0.25">
      <c r="B28" s="24"/>
      <c r="C28" s="24"/>
      <c r="D28" s="24"/>
      <c r="E28" s="24"/>
    </row>
    <row r="29" spans="2:5" ht="15.75" customHeight="1" x14ac:dyDescent="0.25"/>
    <row r="30" spans="2:5" ht="15.75" customHeight="1" x14ac:dyDescent="0.25"/>
    <row r="31" spans="2:5" ht="15.75" customHeight="1" x14ac:dyDescent="0.25"/>
    <row r="32" spans="2: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sheetData>
  <mergeCells count="1">
    <mergeCell ref="B18:E28"/>
  </mergeCells>
  <pageMargins left="0.7" right="0.7" top="0.75" bottom="0.75"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Backlog</vt:lpstr>
      <vt:lpstr>sprint2</vt:lpstr>
      <vt:lpstr>burdonchart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WINDOWS</cp:lastModifiedBy>
  <dcterms:created xsi:type="dcterms:W3CDTF">2023-01-13T00:08:30Z</dcterms:created>
  <dcterms:modified xsi:type="dcterms:W3CDTF">2026-06-25T02:08:12Z</dcterms:modified>
</cp:coreProperties>
</file>