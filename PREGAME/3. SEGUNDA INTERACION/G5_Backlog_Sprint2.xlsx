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crisd\Downloads\"/>
    </mc:Choice>
  </mc:AlternateContent>
  <xr:revisionPtr revIDLastSave="0" documentId="13_ncr:1_{6FE7C2E5-1A3D-4EE6-B63F-21D5857979D7}" xr6:coauthVersionLast="47" xr6:coauthVersionMax="47" xr10:uidLastSave="{00000000-0000-0000-0000-000000000000}"/>
  <bookViews>
    <workbookView xWindow="-120" yWindow="-120" windowWidth="20730" windowHeight="11040" xr2:uid="{00000000-000D-0000-FFFF-FFFF00000000}"/>
  </bookViews>
  <sheets>
    <sheet name="Backlog" sheetId="1" r:id="rId1"/>
    <sheet name="sprint1" sheetId="2" state="hidden" r:id="rId2"/>
    <sheet name="sprint2" sheetId="4" r:id="rId3"/>
    <sheet name="sprint3" sheetId="5" state="hidden" r:id="rId4"/>
    <sheet name="burdonchart"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7" i="3" l="1"/>
  <c r="K8" i="3"/>
  <c r="K9" i="3"/>
  <c r="K10" i="3"/>
  <c r="C12" i="3"/>
  <c r="D12" i="3"/>
  <c r="E12" i="3"/>
  <c r="F12" i="3"/>
  <c r="G12" i="3"/>
  <c r="H12" i="3"/>
  <c r="I12" i="3"/>
  <c r="J12" i="3"/>
  <c r="C13" i="3"/>
  <c r="D13" i="3"/>
  <c r="E13" i="3"/>
  <c r="F13" i="3"/>
  <c r="G13" i="3"/>
  <c r="H13" i="3"/>
  <c r="I13" i="3"/>
  <c r="J13" i="3"/>
  <c r="K26" i="3"/>
  <c r="K27" i="3"/>
  <c r="K28" i="3"/>
  <c r="K29" i="3"/>
  <c r="C31" i="3"/>
  <c r="D31" i="3"/>
  <c r="E31" i="3"/>
  <c r="F31" i="3"/>
  <c r="G31" i="3"/>
  <c r="H31" i="3"/>
  <c r="I31" i="3"/>
  <c r="J31" i="3"/>
  <c r="C32" i="3"/>
  <c r="D32" i="3"/>
  <c r="E32" i="3"/>
  <c r="F32" i="3"/>
  <c r="G32" i="3"/>
  <c r="H32" i="3"/>
  <c r="I32" i="3"/>
  <c r="J32" i="3"/>
  <c r="K45" i="3"/>
  <c r="K46" i="3"/>
  <c r="K47" i="3"/>
  <c r="K48" i="3"/>
  <c r="C50" i="3"/>
  <c r="D50" i="3"/>
  <c r="E50" i="3"/>
  <c r="F50" i="3"/>
  <c r="G50" i="3"/>
  <c r="H50" i="3"/>
  <c r="I50" i="3"/>
  <c r="J50" i="3"/>
  <c r="C51" i="3"/>
  <c r="D51" i="3"/>
  <c r="E51" i="3"/>
  <c r="F51" i="3"/>
  <c r="G51" i="3"/>
  <c r="H51" i="3"/>
  <c r="I51" i="3"/>
  <c r="J51" i="3"/>
  <c r="K64" i="3"/>
  <c r="K65" i="3"/>
  <c r="K66" i="3"/>
  <c r="K67" i="3"/>
  <c r="C69" i="3"/>
  <c r="D69" i="3"/>
  <c r="E69" i="3"/>
  <c r="F69" i="3"/>
  <c r="G69" i="3"/>
  <c r="H69" i="3"/>
  <c r="I69" i="3"/>
  <c r="J69" i="3"/>
  <c r="C70" i="3"/>
  <c r="D70" i="3"/>
  <c r="E70" i="3"/>
  <c r="F70" i="3"/>
  <c r="G70" i="3"/>
  <c r="H70" i="3"/>
  <c r="I70" i="3"/>
  <c r="J70" i="3"/>
  <c r="K192" i="3"/>
  <c r="K193" i="3"/>
  <c r="K194" i="3"/>
  <c r="K191" i="3"/>
  <c r="C197" i="3"/>
  <c r="C196" i="3"/>
  <c r="C177" i="3"/>
  <c r="C176" i="3"/>
  <c r="K174" i="3"/>
  <c r="K173" i="3"/>
  <c r="K172" i="3"/>
  <c r="K171" i="3"/>
  <c r="C157" i="3"/>
  <c r="C156" i="3"/>
  <c r="K154" i="3"/>
  <c r="K153" i="3"/>
  <c r="K152" i="3"/>
  <c r="K151" i="3"/>
  <c r="K111" i="3"/>
  <c r="C134" i="3"/>
  <c r="C133" i="3"/>
  <c r="K131" i="3"/>
  <c r="K130" i="3"/>
  <c r="K129" i="3"/>
  <c r="K128" i="3"/>
  <c r="C114" i="3"/>
  <c r="C113" i="3"/>
  <c r="K110" i="3"/>
  <c r="K109" i="3"/>
  <c r="K108" i="3"/>
  <c r="C94" i="3"/>
  <c r="C93" i="3"/>
  <c r="K91" i="3"/>
  <c r="K90" i="3"/>
  <c r="K89" i="3"/>
  <c r="K88" i="3"/>
  <c r="D197" i="3" l="1"/>
  <c r="E197" i="3" s="1"/>
  <c r="F197" i="3" s="1"/>
  <c r="G197" i="3" s="1"/>
  <c r="H197" i="3" s="1"/>
  <c r="I197" i="3" s="1"/>
  <c r="J197" i="3" s="1"/>
  <c r="D196" i="3"/>
  <c r="E196" i="3" s="1"/>
  <c r="F196" i="3" s="1"/>
  <c r="G196" i="3" s="1"/>
  <c r="H196" i="3" s="1"/>
  <c r="I196" i="3" s="1"/>
  <c r="J196" i="3" s="1"/>
  <c r="D177" i="3"/>
  <c r="E177" i="3" s="1"/>
  <c r="F177" i="3" s="1"/>
  <c r="G177" i="3" s="1"/>
  <c r="H177" i="3" s="1"/>
  <c r="I177" i="3" s="1"/>
  <c r="J177" i="3" s="1"/>
  <c r="D176" i="3"/>
  <c r="E176" i="3" s="1"/>
  <c r="F176" i="3" s="1"/>
  <c r="G176" i="3" s="1"/>
  <c r="H176" i="3" s="1"/>
  <c r="I176" i="3" s="1"/>
  <c r="J176" i="3" s="1"/>
  <c r="D157" i="3"/>
  <c r="E157" i="3" s="1"/>
  <c r="F157" i="3" s="1"/>
  <c r="G157" i="3" s="1"/>
  <c r="H157" i="3" s="1"/>
  <c r="I157" i="3" s="1"/>
  <c r="J157" i="3" s="1"/>
  <c r="D156" i="3"/>
  <c r="E156" i="3" s="1"/>
  <c r="F156" i="3" s="1"/>
  <c r="G156" i="3" s="1"/>
  <c r="H156" i="3" s="1"/>
  <c r="I156" i="3" s="1"/>
  <c r="J156" i="3" s="1"/>
  <c r="D134" i="3"/>
  <c r="E134" i="3" s="1"/>
  <c r="F134" i="3" s="1"/>
  <c r="G134" i="3" s="1"/>
  <c r="H134" i="3" s="1"/>
  <c r="I134" i="3" s="1"/>
  <c r="J134" i="3" s="1"/>
  <c r="D133" i="3"/>
  <c r="E133" i="3" s="1"/>
  <c r="F133" i="3" s="1"/>
  <c r="G133" i="3" s="1"/>
  <c r="H133" i="3" s="1"/>
  <c r="I133" i="3" s="1"/>
  <c r="J133" i="3" s="1"/>
  <c r="D114" i="3"/>
  <c r="E114" i="3" s="1"/>
  <c r="F114" i="3" s="1"/>
  <c r="G114" i="3" s="1"/>
  <c r="H114" i="3" s="1"/>
  <c r="I114" i="3" s="1"/>
  <c r="J114" i="3" s="1"/>
  <c r="D113" i="3"/>
  <c r="E113" i="3" s="1"/>
  <c r="F113" i="3" s="1"/>
  <c r="G113" i="3" s="1"/>
  <c r="H113" i="3" s="1"/>
  <c r="I113" i="3" s="1"/>
  <c r="J113" i="3" s="1"/>
  <c r="D94" i="3"/>
  <c r="E94" i="3" s="1"/>
  <c r="F94" i="3" s="1"/>
  <c r="G94" i="3" s="1"/>
  <c r="H94" i="3" s="1"/>
  <c r="I94" i="3" s="1"/>
  <c r="J94" i="3" s="1"/>
  <c r="D93" i="3"/>
  <c r="E93" i="3" s="1"/>
  <c r="F93" i="3" s="1"/>
  <c r="G93" i="3" s="1"/>
  <c r="H93" i="3" s="1"/>
  <c r="I93" i="3" s="1"/>
  <c r="J93" i="3" s="1"/>
</calcChain>
</file>

<file path=xl/sharedStrings.xml><?xml version="1.0" encoding="utf-8"?>
<sst xmlns="http://schemas.openxmlformats.org/spreadsheetml/2006/main" count="491" uniqueCount="176">
  <si>
    <t>Tema</t>
  </si>
  <si>
    <t>Como un..</t>
  </si>
  <si>
    <t>necesito</t>
  </si>
  <si>
    <t>asi podre...</t>
  </si>
  <si>
    <t>notas</t>
  </si>
  <si>
    <t>prioridad</t>
  </si>
  <si>
    <t>estatus</t>
  </si>
  <si>
    <t>REQ001</t>
  </si>
  <si>
    <t>Alta</t>
  </si>
  <si>
    <t>Administrador</t>
  </si>
  <si>
    <t>ID</t>
  </si>
  <si>
    <t>Necesito</t>
  </si>
  <si>
    <t>así podre...</t>
  </si>
  <si>
    <t>Prioridad</t>
  </si>
  <si>
    <t>Status</t>
  </si>
  <si>
    <t>Tareas</t>
  </si>
  <si>
    <t>Asignado</t>
  </si>
  <si>
    <t>Estimado</t>
  </si>
  <si>
    <t>REQ001-1</t>
  </si>
  <si>
    <t>REQ001-2</t>
  </si>
  <si>
    <t>REQ001-3</t>
  </si>
  <si>
    <t>Dia 7</t>
  </si>
  <si>
    <t>Dia 6</t>
  </si>
  <si>
    <t>Dia 5</t>
  </si>
  <si>
    <t>Dia 4</t>
  </si>
  <si>
    <t>Dia 3</t>
  </si>
  <si>
    <t>Dia 2</t>
  </si>
  <si>
    <t>Dia 1</t>
  </si>
  <si>
    <t>Total de Horas</t>
  </si>
  <si>
    <t>Horas Estimadas</t>
  </si>
  <si>
    <t>Horas Estimadas
Restantes</t>
  </si>
  <si>
    <t>REQ001-4</t>
  </si>
  <si>
    <t>Ingresar al sistema con crendenciales unicas del administrador</t>
  </si>
  <si>
    <t>Ingresar al menu del sistema como administrador</t>
  </si>
  <si>
    <t>3 intentos de ingreso al sistema</t>
  </si>
  <si>
    <t>REQ002</t>
  </si>
  <si>
    <t>Almacenamiento de residentes en el sistema</t>
  </si>
  <si>
    <t>Registrar la información personal y de vivienda de cada residente dentro del sistema</t>
  </si>
  <si>
    <t>validar datos antes de guardar</t>
  </si>
  <si>
    <t>REQ003</t>
  </si>
  <si>
    <t>Consulta y filtrado de información de residentes</t>
  </si>
  <si>
    <t>Buscar residentes mediante filtros especificados por el administrador</t>
  </si>
  <si>
    <t>Encontrar el residente mediante parámetros requeridos por el administrador</t>
  </si>
  <si>
    <t>REQ004</t>
  </si>
  <si>
    <t>Crear interfaz de inicio de sesión en Netbeans con lenguaje Java para los campos usuario y contraseña</t>
  </si>
  <si>
    <t>Cristian Suquillo</t>
  </si>
  <si>
    <t>Configurar NoSQLBooster e integrar librerias de conexion MongoDB en Netbeans</t>
  </si>
  <si>
    <t>REQ002-1</t>
  </si>
  <si>
    <t>Crear la interfaz del formulario para el registro de residentes utilizando Netbeans, lenguaje Java</t>
  </si>
  <si>
    <t>Melanie Zuñiga</t>
  </si>
  <si>
    <t>REQ002-2</t>
  </si>
  <si>
    <t>Implementar validaciones de campos obligatorios en el formulario</t>
  </si>
  <si>
    <t>REQ002-3</t>
  </si>
  <si>
    <t>Crear la estructura de la base de datos para almacenar residentes y viviendas en MongoDB</t>
  </si>
  <si>
    <t>REQ002-4</t>
  </si>
  <si>
    <t>REQ003-1</t>
  </si>
  <si>
    <t>Crear la interfaz de busqueda de residentes en Netbeans</t>
  </si>
  <si>
    <t>Paul Villacis</t>
  </si>
  <si>
    <t>REQ003-2</t>
  </si>
  <si>
    <t>Implementar filtros de busqueda por nombre, cedula y numero de vivienda</t>
  </si>
  <si>
    <t>REQ003-3</t>
  </si>
  <si>
    <t>Desarrollar la consulta a la base de datos para obtener los registros coincidentes</t>
  </si>
  <si>
    <t>REQ003-4</t>
  </si>
  <si>
    <t>REQ004-1</t>
  </si>
  <si>
    <t>REQ004-2</t>
  </si>
  <si>
    <t>REQ004-3</t>
  </si>
  <si>
    <t>REQ004-4</t>
  </si>
  <si>
    <t>Diseño de la interfaz de inicio de sesión del administrador</t>
  </si>
  <si>
    <t>Gestion de acceso a módulos del sistema</t>
  </si>
  <si>
    <t>Acceder a los modulos del sistema de manera organizada despued del inicio de sesión</t>
  </si>
  <si>
    <t>Navegar de forma eficiente entre las funcionalidades del sistema</t>
  </si>
  <si>
    <t>Joshep Chisaguano</t>
  </si>
  <si>
    <t>Crear la interfaz principal del sistema en NetBeans con Java para mostrar el menú de módulos</t>
  </si>
  <si>
    <t>Organizar los módulos dentro del menú según su funcionalidad</t>
  </si>
  <si>
    <t>Implementar la navegación entre los diferentes módulos desde el menú principal</t>
  </si>
  <si>
    <t>Verificar que el administrador pueda acceder correctamente a cada módulo después de iniciar sesión</t>
  </si>
  <si>
    <t>Acceder a los modulos del sistema de manera organizada despues del inicio de sesión</t>
  </si>
  <si>
    <t>Garantizar el almacenamiento correcto y acceso a la información de los residentes</t>
  </si>
  <si>
    <t>Creación de la colección del usuario con credenciales en MongoDB</t>
  </si>
  <si>
    <t>Implementar la validacion de las credenciales consultando en la coleccion en MongoDB</t>
  </si>
  <si>
    <t>Programar la conexión y el guardado de datos del formulario en MongoDB mostrándolos en una tabla</t>
  </si>
  <si>
    <t>Mostrar los resultados de la busqueda con un mensaje de confirmacion</t>
  </si>
  <si>
    <t>REQ005</t>
  </si>
  <si>
    <t>REQ006</t>
  </si>
  <si>
    <t>REQ007</t>
  </si>
  <si>
    <t>En revision</t>
  </si>
  <si>
    <t>Control de pagos de alícuotas por vivienda</t>
  </si>
  <si>
    <t>Registrar los pagos mensuales de los residentes asociada a cada vivienda</t>
  </si>
  <si>
    <t xml:space="preserve">Llevar un control claro de los ingresos que son generados por alícuotas </t>
  </si>
  <si>
    <t>realizar busqueda mediante los atributos nombre, cedula y n° de casa</t>
  </si>
  <si>
    <t>Gestión de arriendos de locales, parqueaderos o de la sede social</t>
  </si>
  <si>
    <t>Registrar y administrar los cobros por los diferentes tipos de arriendos</t>
  </si>
  <si>
    <t>Llevar un control claro de los ingresos generados por los arriendos.</t>
  </si>
  <si>
    <t>diferenciar el tipo de arriendo</t>
  </si>
  <si>
    <t>Gestion de multas por imcuplimiento de las reglas del conjunto</t>
  </si>
  <si>
    <t>Registrar las multas especificas a las cuentas de los residentes</t>
  </si>
  <si>
    <t>Controlar multas por asambleas, mingas o mascotas</t>
  </si>
  <si>
    <t>REQ005-1</t>
  </si>
  <si>
    <t>REQ005-2</t>
  </si>
  <si>
    <t>Implementar la funcionalidad para seleccionar al residente y registrar el monto y período de pago</t>
  </si>
  <si>
    <t>REQ005-3</t>
  </si>
  <si>
    <t>REQ005-4</t>
  </si>
  <si>
    <t>REQ006-1</t>
  </si>
  <si>
    <t>REQ006-2</t>
  </si>
  <si>
    <t>REQ006-3</t>
  </si>
  <si>
    <t>Llevar un control claro de los ingresos por alícuotas y consultar el historial de pagos de cada residente</t>
  </si>
  <si>
    <t xml:space="preserve">Desarrollar la conexión en MongoDB para almacenar los pagos realizados </t>
  </si>
  <si>
    <t>Llevar un control claro de los ingresos generados por los arriendos</t>
  </si>
  <si>
    <t>Crear la interfaz de registro de pagos de alícuotas en Netbeans, lenguaje Java</t>
  </si>
  <si>
    <t>Crear la interfaz de registro de arriendos en NetBeans, lenguaje Java</t>
  </si>
  <si>
    <t>REQ006-4</t>
  </si>
  <si>
    <t>Implementar el formulario para registrar arriendos seleccionando residente, tipo de arriendo y valor del pago.</t>
  </si>
  <si>
    <t>Crear la conexión a la base de datos en MongoDB para almacenar los cobros registrados.</t>
  </si>
  <si>
    <t>diferenciar tipo de arriendo</t>
  </si>
  <si>
    <t>Crear la interfaz de registro de multas en NetBeans, lenguaje Java</t>
  </si>
  <si>
    <t>Crear la estructura de la colección en MongoDB y programar la conexión para almacenar las multas registradas.</t>
  </si>
  <si>
    <t>REQ007-1</t>
  </si>
  <si>
    <t>REQ007-2</t>
  </si>
  <si>
    <t>REQ007-3</t>
  </si>
  <si>
    <t>REQ007-4</t>
  </si>
  <si>
    <t>En proceso</t>
  </si>
  <si>
    <t xml:space="preserve">Mostrar los pagos registrados en el historial de cada residente en una tabla </t>
  </si>
  <si>
    <t>Mostrar el historial de arriendos y el total recaudado por cada tipo de arriendo en el sistema en diferentes tablas</t>
  </si>
  <si>
    <t>Configurar el catalogo con los tipos requeridos (asambleas, mingas, mascotas), junto con las tarifas base que defina el administrador</t>
  </si>
  <si>
    <t>Mostrar las multas registradas en una tabla</t>
  </si>
  <si>
    <t>Terminado</t>
  </si>
  <si>
    <t>REQ008</t>
  </si>
  <si>
    <t>REQ008-1</t>
  </si>
  <si>
    <t>REQ008-2</t>
  </si>
  <si>
    <t>REQ008-3</t>
  </si>
  <si>
    <t>REQ008-4</t>
  </si>
  <si>
    <t>REQ009</t>
  </si>
  <si>
    <t>REQ009-1</t>
  </si>
  <si>
    <t>REQ009-2</t>
  </si>
  <si>
    <t>REQ009-3</t>
  </si>
  <si>
    <t>REQ009-4</t>
  </si>
  <si>
    <t>REQ010</t>
  </si>
  <si>
    <t>REQ010-1</t>
  </si>
  <si>
    <t>REQ010-2</t>
  </si>
  <si>
    <t>REQ010-3</t>
  </si>
  <si>
    <t>REQ010-4</t>
  </si>
  <si>
    <t>Gestion de multas por incumplimiento de las reglas del conjunto</t>
  </si>
  <si>
    <t>Generación de reporte de pagos por residente</t>
  </si>
  <si>
    <t>Actualización de información de residentes y pagos</t>
  </si>
  <si>
    <t>Consulta de residentes con deudas pendientes</t>
  </si>
  <si>
    <t>Generar un panel de reportes detallados por residente y tipo de pago</t>
  </si>
  <si>
    <t>Un módulo de actualización que permita modificar la información de residentes y pagos registrados</t>
  </si>
  <si>
    <t>Un sistema de control de deudores que permita consultar los residentes que tienen pagos pendientes</t>
  </si>
  <si>
    <t>Visualizar y analizar de forma clara los pagos de alícuotas, arriendos y multas de cada residente</t>
  </si>
  <si>
    <t>Mantener la información actualizada y corregir errores en los registros del sistema</t>
  </si>
  <si>
    <t>Facilitar la gestión de cobro y el seguimiento de los residentes con deudas</t>
  </si>
  <si>
    <t>Crear una ventana en NetBeans donde el usuario pueda generar reportes, con opciones para seleccionar residente o tipo de pago y un botón “Generar reporte”.</t>
  </si>
  <si>
    <t>Diseñar la interfaz usando tablas y pestañas para organizar claramente la información de alícuotas, arriendos y multas.</t>
  </si>
  <si>
    <t>Configurar MongoDB y la conexión con Java para consultar los datos de pagos filtrados por diferentes criterios.</t>
  </si>
  <si>
    <t>Programar la lógica en Java para procesar los datos, mostrarlos en la tabla y permitir generar el reporte en pantalla o en PDF.</t>
  </si>
  <si>
    <t>Crear una ventana con una tabla y un botón “Consultar deudores” para cargar la información.</t>
  </si>
  <si>
    <t>Organizar la tabla mostrando datos como residente, vivienda, tipo de deuda y valor pendiente.</t>
  </si>
  <si>
    <t>Configurar MongoDB y la conexión con Java para consultar registros con estado pendiente.</t>
  </si>
  <si>
    <t>Programar la lógica para filtrar los deudores y mostrar los resultados en la tabla.</t>
  </si>
  <si>
    <t>Crear una ventana que permita buscar residentes o pagos y mostrar su información en un formulario editable.</t>
  </si>
  <si>
    <t>Diseñar el formulario con campos modificables y botones como “Actualizar” y “Guardar cambios”.</t>
  </si>
  <si>
    <t>Configurar MongoDB y la conexión con Java para permitir la actualización de datos en residentes y pagos.</t>
  </si>
  <si>
    <t>Programar la lógica para validar los cambios realizados y guardarlos correctamente en la base de datos.</t>
  </si>
  <si>
    <t>SPRINT 1</t>
  </si>
  <si>
    <t>SPRINT 2</t>
  </si>
  <si>
    <t>SPRINT 3</t>
  </si>
  <si>
    <t xml:space="preserve"> El esfuerzo total fue de 10 horas, distribuidas a lo largo de los 7 días del sprint. Se observa que la mayor carga de trabajo se concentró en los primeros y últimos días, con días intermedios de menor actividad, lo cual refleja una dinámica de inicio y cierre de tareas con pausas por dependencias técnicas entre ellas. Al finalizar el sprint, la totalidad de las horas estimadas fueron completadas satisfactoriamente.</t>
  </si>
  <si>
    <t>Este requisito agrupó las tareas de diseño del menú principal, sumando 12 horas estimadas. El avance registrado muestra que el trabajo fue distribuido principalmente en los días iniciales y finales del sprint, con menor actividad en los días intermedios. Esto es coherente con el flujo de desarrollo de una interfaz de navegación, donde primero se construye la estructura y al final se valida el acceso correcto a cada módulo. El requisito fue completado dentro del tiempo planificado.</t>
  </si>
  <si>
    <t>Con un total de 12 horas estimadas. El burndown chart muestra un avance irregular a lo largo del sprint, con días de mayor y menor productividad. Esta variación es característica de requisitos que involucran tanto diseño de interfaz como integración con base de datos, ya que cada tarea presenta dependencias con las anteriores. Al cierre del sprint, todas las horas fueron completadas exitosamente.</t>
  </si>
  <si>
    <t>Este requisito fue el de mayor carga dentro del Sprint 1, con 14 horas estimadas. Las tareas contemplaron el diseño de la interfaz de búsqueda, la implementación de filtros por nombre, cédula y número de vivienda, el desarrollo de la consulta a la base de datos y la presentación de resultados con mensaje de confirmación. El burndown chart refleja una reducción progresiva y constante de las horas restantes a lo largo de los 7 días, siguiendo de manera muy cercana la línea ideal. Esto evidencia una distribución eficiente del trabajo y una ejecución ordenada de las tareas por parte del integrante responsable.</t>
  </si>
  <si>
    <t>Sumando 12 horas estimadas. El burndown chart muestra que durante los primeros días del sprint el avance fue mínimo, acumulándose el mayor esfuerzo en los días intermedios, especialmente el Día 3. Esto generó una brecha visible entre la línea real y la línea ideal en la primera mitad del período. Sin embargo, el equipo logró completar la totalidad de las horas al cierre del sprint, aunque se recomienda para futuros sprints iniciar con mayor actividad desde los primeros días.</t>
  </si>
  <si>
    <t>Con 14 horas estimadas. El avance real mostró un comportamiento similar al REQ005, con escasa actividad en los primeros días y una mayor carga concentrada en los días intermedios. La necesidad de diferenciar los distintos tipos de arriendo añadió complejidad al desarrollo, lo que pudo influir en el ritmo de avance. El requisito fue completado en su totalidad al finalizar el sprint.</t>
  </si>
  <si>
    <t>Sumando 14 horas estimadas. El burndown chart muestra un patrón de avance similar al de los demás requisitos del Sprint 2, con mayor concentración del esfuerzo en los días 3 y 4. Cabe destacar que la tarea REQ007-2, correspondiente a la configuración del catálogo de tipos de multa con sus tarifas base, representó la mayor carga individual del requisito con 4 horas, condicionando el flujo general del trabajo. El requisito fue completado satisfactoriamente al cierre del sprint.</t>
  </si>
  <si>
    <t>Con 12 horas estimadas. El burndown chart presenta una particularidad en el Día 1, donde se registraron horas negativas, lo que indica que el equipo trabajó más de lo planificado en esa jornada. En los días siguientes el ritmo se estabilizó. Es importante destacar que la tarea REQ008-4 superó su estimación original, lo que sugiere que la lógica de filtrado de deudores resultó más compleja de lo previsto al requerir cruce de datos entre múltiples colecciones.</t>
  </si>
  <si>
    <t>Sumando 14 horas estimadas. El avance real se mantuvo por encima de la línea ideal durante los primeros días, evidenciando un inicio más lento de lo planificado. El mayor esfuerzo se concentró en los días intermedios y finales del sprint, cuando las tareas de integración con la base de datos fueron ejecutadas. Al cierre del sprint, la totalidad de las horas fue completada.</t>
  </si>
  <si>
    <t>Este requisito representa la funcionalidad de mayor complejidad del Sprint 3 y del proyecto en general, con 14 horas estimadas. Las tareas abarcaron la ventana de generación de reportes, el diseño de la interfaz con pestañas por tipo de pago, la configuración de consultas en MongoDB y la programación de la lógica con exportación a PDF. El burndown chart muestra un avance progresivo que se aceleró en los últimos días del sprint, cerrando con la totalidad de horas completadas. Este requisito marcó el cierre del tercer sprint y del desarrollo completo del sistema de gestión del conjunto residencial.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</si>
</sst>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0"/>
      <color rgb="FF000000"/>
      <name val="Arial"/>
      <scheme val="minor"/>
    </font>
    <font>
      <sz val="10"/>
      <color theme="1"/>
      <name val="Arial"/>
      <family val="2"/>
    </font>
    <font>
      <sz val="11"/>
      <color rgb="FF000000"/>
      <name val="Inconsolata"/>
    </font>
    <font>
      <b/>
      <sz val="10"/>
      <color rgb="FF000000"/>
      <name val="Arial"/>
      <family val="2"/>
      <scheme val="minor"/>
    </font>
    <font>
      <sz val="10"/>
      <color rgb="FF4A86E8"/>
      <name val="Arial"/>
      <family val="2"/>
      <scheme val="minor"/>
    </font>
    <font>
      <sz val="10"/>
      <color rgb="FF4472C4"/>
      <name val="Arial"/>
      <family val="2"/>
      <scheme val="minor"/>
    </font>
    <font>
      <sz val="10"/>
      <color rgb="FF000000"/>
      <name val="Arial"/>
      <family val="2"/>
      <scheme val="minor"/>
    </font>
    <font>
      <sz val="10"/>
      <color rgb="FF4285F4"/>
      <name val="Arial"/>
      <family val="2"/>
      <scheme val="minor"/>
    </font>
    <font>
      <sz val="8"/>
      <name val="Arial"/>
      <scheme val="minor"/>
    </font>
    <font>
      <sz val="8"/>
      <name val="Arial"/>
      <family val="2"/>
      <scheme val="minor"/>
    </font>
    <font>
      <sz val="10"/>
      <color theme="4"/>
      <name val="Arial"/>
      <family val="2"/>
      <scheme val="minor"/>
    </font>
    <font>
      <sz val="10"/>
      <color theme="4"/>
      <name val="Calibri"/>
      <family val="2"/>
    </font>
    <font>
      <sz val="10"/>
      <color theme="4"/>
      <name val="Arial"/>
      <scheme val="minor"/>
    </font>
    <font>
      <b/>
      <sz val="10"/>
      <color theme="4"/>
      <name val="Arial"/>
      <family val="2"/>
      <scheme val="minor"/>
    </font>
    <font>
      <sz val="10"/>
      <color rgb="FF0070C0"/>
      <name val="Arial"/>
      <family val="2"/>
      <scheme val="minor"/>
    </font>
    <font>
      <sz val="11"/>
      <color rgb="FF000000"/>
      <name val="Segoe UI"/>
      <family val="2"/>
    </font>
    <font>
      <sz val="10"/>
      <color theme="4" tint="-0.249977111117893"/>
      <name val="Arial"/>
      <family val="2"/>
      <scheme val="minor"/>
    </font>
    <font>
      <b/>
      <sz val="22"/>
      <color rgb="FF000000"/>
      <name val="Arial"/>
      <family val="2"/>
      <scheme val="minor"/>
    </font>
  </fonts>
  <fills count="9">
    <fill>
      <patternFill patternType="none"/>
    </fill>
    <fill>
      <patternFill patternType="gray125"/>
    </fill>
    <fill>
      <patternFill patternType="solid">
        <fgColor rgb="FFFFFFFF"/>
        <bgColor rgb="FFFFFFFF"/>
      </patternFill>
    </fill>
    <fill>
      <patternFill patternType="solid">
        <fgColor rgb="FFFFD966"/>
        <bgColor rgb="FFFFD966"/>
      </patternFill>
    </fill>
    <fill>
      <patternFill patternType="solid">
        <fgColor theme="7" tint="0.39997558519241921"/>
        <bgColor indexed="64"/>
      </patternFill>
    </fill>
    <fill>
      <patternFill patternType="solid">
        <fgColor rgb="FF00FF00"/>
        <bgColor indexed="64"/>
      </patternFill>
    </fill>
    <fill>
      <patternFill patternType="solid">
        <fgColor rgb="FF9FC5E8"/>
        <bgColor indexed="64"/>
      </patternFill>
    </fill>
    <fill>
      <patternFill patternType="solid">
        <fgColor rgb="FFFFFFFF"/>
        <bgColor indexed="64"/>
      </patternFill>
    </fill>
    <fill>
      <patternFill patternType="solid">
        <fgColor rgb="FFFFFF00"/>
        <bgColor indexed="64"/>
      </patternFill>
    </fill>
  </fills>
  <borders count="7">
    <border>
      <left/>
      <right/>
      <top/>
      <bottom/>
      <diagonal/>
    </border>
    <border>
      <left style="thin">
        <color rgb="FF999999"/>
      </left>
      <right style="thin">
        <color rgb="FF999999"/>
      </right>
      <top style="thin">
        <color rgb="FF999999"/>
      </top>
      <bottom style="thin">
        <color rgb="FF999999"/>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8">
    <xf numFmtId="0" fontId="0" fillId="0" borderId="0" xfId="0"/>
    <xf numFmtId="0" fontId="1" fillId="0" borderId="0" xfId="0" applyFont="1"/>
    <xf numFmtId="0" fontId="1" fillId="3" borderId="1" xfId="0" applyFont="1" applyFill="1" applyBorder="1"/>
    <xf numFmtId="0" fontId="1" fillId="0" borderId="1" xfId="0" applyFont="1" applyBorder="1"/>
    <xf numFmtId="0" fontId="2" fillId="2" borderId="1" xfId="0" applyFont="1" applyFill="1" applyBorder="1"/>
    <xf numFmtId="0" fontId="0" fillId="5" borderId="0" xfId="0" applyFill="1"/>
    <xf numFmtId="0" fontId="0" fillId="4" borderId="0" xfId="0" applyFill="1"/>
    <xf numFmtId="0" fontId="6" fillId="0" borderId="2" xfId="0" applyFont="1" applyBorder="1" applyAlignment="1">
      <alignment wrapText="1"/>
    </xf>
    <xf numFmtId="0" fontId="3" fillId="0" borderId="2" xfId="0" applyFont="1" applyBorder="1" applyAlignment="1">
      <alignment horizontal="center" wrapText="1"/>
    </xf>
    <xf numFmtId="0" fontId="6" fillId="6" borderId="2" xfId="0" applyFont="1" applyFill="1" applyBorder="1" applyAlignment="1">
      <alignment wrapText="1"/>
    </xf>
    <xf numFmtId="0" fontId="6" fillId="7" borderId="2" xfId="0" applyFont="1" applyFill="1" applyBorder="1" applyAlignment="1">
      <alignment wrapText="1"/>
    </xf>
    <xf numFmtId="0" fontId="3" fillId="0" borderId="2" xfId="0" applyFont="1" applyBorder="1" applyAlignment="1">
      <alignment wrapText="1"/>
    </xf>
    <xf numFmtId="0" fontId="5" fillId="0" borderId="2" xfId="0" applyFont="1" applyBorder="1" applyAlignment="1">
      <alignment wrapText="1"/>
    </xf>
    <xf numFmtId="0" fontId="5" fillId="0" borderId="2" xfId="0" applyFont="1" applyBorder="1" applyAlignment="1">
      <alignment horizontal="right" wrapText="1"/>
    </xf>
    <xf numFmtId="0" fontId="5" fillId="0" borderId="2" xfId="0" applyFont="1" applyBorder="1" applyAlignment="1">
      <alignment vertical="top" wrapText="1"/>
    </xf>
    <xf numFmtId="0" fontId="6" fillId="0" borderId="2" xfId="0" applyFont="1" applyBorder="1" applyAlignment="1">
      <alignment vertical="top" wrapText="1"/>
    </xf>
    <xf numFmtId="0" fontId="7" fillId="0" borderId="2" xfId="0" applyFont="1" applyBorder="1" applyAlignment="1">
      <alignment wrapText="1"/>
    </xf>
    <xf numFmtId="0" fontId="6" fillId="0" borderId="2" xfId="0" applyFont="1" applyBorder="1"/>
    <xf numFmtId="0" fontId="6" fillId="6" borderId="2" xfId="0" applyFont="1" applyFill="1" applyBorder="1"/>
    <xf numFmtId="0" fontId="6" fillId="0" borderId="3" xfId="0" applyFont="1" applyBorder="1"/>
    <xf numFmtId="0" fontId="6" fillId="0" borderId="4" xfId="0" applyFont="1" applyBorder="1"/>
    <xf numFmtId="0" fontId="6" fillId="0" borderId="5" xfId="0" applyFont="1" applyBorder="1"/>
    <xf numFmtId="0" fontId="6" fillId="0" borderId="3" xfId="0" applyFont="1" applyBorder="1" applyAlignment="1">
      <alignment wrapText="1"/>
    </xf>
    <xf numFmtId="0" fontId="6" fillId="0" borderId="4" xfId="0" applyFont="1" applyBorder="1" applyAlignment="1">
      <alignment wrapText="1"/>
    </xf>
    <xf numFmtId="0" fontId="6" fillId="0" borderId="5" xfId="0" applyFont="1" applyBorder="1" applyAlignment="1">
      <alignment wrapText="1"/>
    </xf>
    <xf numFmtId="0" fontId="3" fillId="0" borderId="6" xfId="0" applyFont="1" applyBorder="1" applyAlignment="1">
      <alignment horizontal="center" wrapText="1"/>
    </xf>
    <xf numFmtId="0" fontId="10" fillId="0" borderId="6" xfId="0" applyFont="1" applyBorder="1" applyAlignment="1">
      <alignment vertical="center"/>
    </xf>
    <xf numFmtId="0" fontId="10" fillId="0" borderId="6" xfId="0" applyFont="1" applyBorder="1" applyAlignment="1">
      <alignment horizontal="center" wrapText="1"/>
    </xf>
    <xf numFmtId="0" fontId="10" fillId="0" borderId="6" xfId="0" applyFont="1" applyBorder="1"/>
    <xf numFmtId="0" fontId="11" fillId="0" borderId="6" xfId="0" applyFont="1" applyBorder="1" applyAlignment="1">
      <alignment horizontal="center" wrapText="1"/>
    </xf>
    <xf numFmtId="0" fontId="12" fillId="0" borderId="6" xfId="0" applyFont="1" applyBorder="1"/>
    <xf numFmtId="0" fontId="10" fillId="0" borderId="6" xfId="0" applyFont="1" applyBorder="1" applyAlignment="1">
      <alignment wrapText="1"/>
    </xf>
    <xf numFmtId="0" fontId="13" fillId="0" borderId="6" xfId="0" applyFont="1" applyBorder="1" applyAlignment="1">
      <alignment horizontal="center" wrapText="1"/>
    </xf>
    <xf numFmtId="0" fontId="3" fillId="0" borderId="0" xfId="0" applyFont="1" applyAlignment="1">
      <alignment horizontal="center" wrapText="1"/>
    </xf>
    <xf numFmtId="0" fontId="6" fillId="6" borderId="0" xfId="0" applyFont="1" applyFill="1" applyAlignment="1">
      <alignment wrapText="1"/>
    </xf>
    <xf numFmtId="0" fontId="6"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5" fillId="0" borderId="0" xfId="0" applyFont="1" applyAlignment="1">
      <alignment horizontal="right" wrapText="1"/>
    </xf>
    <xf numFmtId="0" fontId="6" fillId="0" borderId="0" xfId="0" applyFont="1" applyAlignment="1">
      <alignment vertical="center"/>
    </xf>
    <xf numFmtId="0" fontId="14" fillId="0" borderId="2" xfId="0" applyFont="1" applyBorder="1" applyAlignment="1">
      <alignment horizontal="right" wrapText="1"/>
    </xf>
    <xf numFmtId="0" fontId="14" fillId="0" borderId="0" xfId="0" applyFont="1"/>
    <xf numFmtId="0" fontId="6" fillId="0" borderId="0" xfId="0" applyFont="1"/>
    <xf numFmtId="0" fontId="0" fillId="0" borderId="6" xfId="0" applyBorder="1"/>
    <xf numFmtId="0" fontId="4" fillId="0" borderId="6" xfId="0" applyFont="1" applyBorder="1" applyAlignment="1">
      <alignment horizontal="center" wrapText="1"/>
    </xf>
    <xf numFmtId="0" fontId="15" fillId="0" borderId="2" xfId="0" applyFont="1" applyBorder="1" applyAlignment="1">
      <alignment vertical="center"/>
    </xf>
    <xf numFmtId="0" fontId="15" fillId="0" borderId="0" xfId="0" applyFont="1" applyAlignment="1">
      <alignment vertical="center"/>
    </xf>
    <xf numFmtId="0" fontId="16" fillId="0" borderId="0" xfId="0" applyFont="1" applyAlignment="1">
      <alignment vertical="center" wrapText="1"/>
    </xf>
    <xf numFmtId="0" fontId="6" fillId="0" borderId="3" xfId="0" applyFont="1" applyBorder="1" applyAlignment="1">
      <alignment wrapText="1"/>
    </xf>
    <xf numFmtId="0" fontId="6" fillId="0" borderId="4" xfId="0" applyFont="1" applyBorder="1" applyAlignment="1">
      <alignment wrapText="1"/>
    </xf>
    <xf numFmtId="0" fontId="6" fillId="0" borderId="5" xfId="0" applyFont="1" applyBorder="1" applyAlignment="1">
      <alignment wrapText="1"/>
    </xf>
    <xf numFmtId="0" fontId="6" fillId="0" borderId="3" xfId="0" applyFont="1" applyBorder="1"/>
    <xf numFmtId="0" fontId="6" fillId="0" borderId="4" xfId="0" applyFont="1" applyBorder="1"/>
    <xf numFmtId="0" fontId="6" fillId="0" borderId="5" xfId="0" applyFont="1" applyBorder="1"/>
    <xf numFmtId="0" fontId="6" fillId="0" borderId="0" xfId="0" applyFont="1" applyAlignment="1">
      <alignment wrapText="1"/>
    </xf>
    <xf numFmtId="0" fontId="6" fillId="0" borderId="0" xfId="0" applyFont="1" applyAlignment="1">
      <alignment vertical="center"/>
    </xf>
    <xf numFmtId="0" fontId="16" fillId="0" borderId="0" xfId="0" applyFont="1" applyAlignment="1">
      <alignment horizontal="left" vertical="center" wrapText="1"/>
    </xf>
    <xf numFmtId="0" fontId="17" fillId="8" borderId="0" xfId="0" applyFont="1" applyFill="1" applyAlignment="1">
      <alignment horizontal="center" vertical="center"/>
    </xf>
  </cellXfs>
  <cellStyles count="1">
    <cellStyle name="Normal" xfId="0" builtinId="0"/>
  </cellStyles>
  <dxfs count="5">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2">
    <tableStyle name="burdonchart-style" pivot="0" count="3" xr9:uid="{00000000-0011-0000-FFFF-FFFF00000000}">
      <tableStyleElement type="headerRow" dxfId="4"/>
      <tableStyleElement type="firstRowStripe" dxfId="3"/>
      <tableStyleElement type="secondRowStripe" dxfId="2"/>
    </tableStyle>
    <tableStyle name="burdonchart-style 2" pivot="0" count="2" xr9:uid="{00000000-0011-0000-FFFF-FFFF01000000}">
      <tableStyleElement type="firstRowStripe" dxfId="1"/>
      <tableStyleElement type="secondRowStripe" dxfId="0"/>
    </tableStyle>
  </tableStyles>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burdonchart!$B$93</c:f>
              <c:strCache>
                <c:ptCount val="1"/>
                <c:pt idx="0">
                  <c:v>Horas Estimadas</c:v>
                </c:pt>
              </c:strCache>
            </c:strRef>
          </c:tx>
          <c:spPr>
            <a:ln cmpd="sng">
              <a:solidFill>
                <a:srgbClr val="3366CC"/>
              </a:solidFill>
            </a:ln>
          </c:spPr>
          <c:marker>
            <c:symbol val="none"/>
          </c:marker>
          <c:val>
            <c:numRef>
              <c:f>burdonchart!$C$93:$J$93</c:f>
              <c:numCache>
                <c:formatCode>General</c:formatCode>
                <c:ptCount val="8"/>
                <c:pt idx="0">
                  <c:v>12</c:v>
                </c:pt>
                <c:pt idx="1">
                  <c:v>10</c:v>
                </c:pt>
                <c:pt idx="2">
                  <c:v>10</c:v>
                </c:pt>
                <c:pt idx="3">
                  <c:v>10</c:v>
                </c:pt>
                <c:pt idx="4">
                  <c:v>8</c:v>
                </c:pt>
                <c:pt idx="5">
                  <c:v>5</c:v>
                </c:pt>
                <c:pt idx="6">
                  <c:v>3</c:v>
                </c:pt>
                <c:pt idx="7">
                  <c:v>0</c:v>
                </c:pt>
              </c:numCache>
            </c:numRef>
          </c:val>
          <c:smooth val="0"/>
          <c:extLst>
            <c:ext xmlns:c16="http://schemas.microsoft.com/office/drawing/2014/chart" uri="{C3380CC4-5D6E-409C-BE32-E72D297353CC}">
              <c16:uniqueId val="{00000000-0733-4F03-BF8C-6299B011E044}"/>
            </c:ext>
          </c:extLst>
        </c:ser>
        <c:ser>
          <c:idx val="1"/>
          <c:order val="1"/>
          <c:tx>
            <c:strRef>
              <c:f>burdonchart!$B$94</c:f>
              <c:strCache>
                <c:ptCount val="1"/>
                <c:pt idx="0">
                  <c:v>Horas Estimadas
Restantes</c:v>
                </c:pt>
              </c:strCache>
            </c:strRef>
          </c:tx>
          <c:spPr>
            <a:ln cmpd="sng">
              <a:solidFill>
                <a:srgbClr val="DC3912"/>
              </a:solidFill>
            </a:ln>
          </c:spPr>
          <c:marker>
            <c:symbol val="none"/>
          </c:marker>
          <c:val>
            <c:numRef>
              <c:f>burdonchart!$C$94:$J$94</c:f>
              <c:numCache>
                <c:formatCode>General</c:formatCode>
                <c:ptCount val="8"/>
                <c:pt idx="0">
                  <c:v>12</c:v>
                </c:pt>
                <c:pt idx="1">
                  <c:v>10.285714285714286</c:v>
                </c:pt>
                <c:pt idx="2">
                  <c:v>8.571428571428573</c:v>
                </c:pt>
                <c:pt idx="3">
                  <c:v>6.8571428571428585</c:v>
                </c:pt>
                <c:pt idx="4">
                  <c:v>5.1428571428571441</c:v>
                </c:pt>
                <c:pt idx="5">
                  <c:v>3.4285714285714297</c:v>
                </c:pt>
                <c:pt idx="6">
                  <c:v>1.7142857142857155</c:v>
                </c:pt>
                <c:pt idx="7">
                  <c:v>0</c:v>
                </c:pt>
              </c:numCache>
            </c:numRef>
          </c:val>
          <c:smooth val="0"/>
          <c:extLst>
            <c:ext xmlns:c16="http://schemas.microsoft.com/office/drawing/2014/chart" uri="{C3380CC4-5D6E-409C-BE32-E72D297353CC}">
              <c16:uniqueId val="{00000001-0733-4F03-BF8C-6299B011E044}"/>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burdonchart!$B$113</c:f>
              <c:strCache>
                <c:ptCount val="1"/>
                <c:pt idx="0">
                  <c:v>Horas Estimadas</c:v>
                </c:pt>
              </c:strCache>
            </c:strRef>
          </c:tx>
          <c:spPr>
            <a:ln cmpd="sng">
              <a:solidFill>
                <a:srgbClr val="3366CC"/>
              </a:solidFill>
            </a:ln>
          </c:spPr>
          <c:marker>
            <c:symbol val="none"/>
          </c:marker>
          <c:val>
            <c:numRef>
              <c:f>burdonchart!$C$113:$J$113</c:f>
              <c:numCache>
                <c:formatCode>General</c:formatCode>
                <c:ptCount val="8"/>
                <c:pt idx="0">
                  <c:v>14</c:v>
                </c:pt>
                <c:pt idx="1">
                  <c:v>11</c:v>
                </c:pt>
                <c:pt idx="2">
                  <c:v>11</c:v>
                </c:pt>
                <c:pt idx="3">
                  <c:v>11</c:v>
                </c:pt>
                <c:pt idx="4">
                  <c:v>9</c:v>
                </c:pt>
                <c:pt idx="5">
                  <c:v>6</c:v>
                </c:pt>
                <c:pt idx="6">
                  <c:v>3</c:v>
                </c:pt>
                <c:pt idx="7">
                  <c:v>0</c:v>
                </c:pt>
              </c:numCache>
            </c:numRef>
          </c:val>
          <c:smooth val="0"/>
          <c:extLst>
            <c:ext xmlns:c16="http://schemas.microsoft.com/office/drawing/2014/chart" uri="{C3380CC4-5D6E-409C-BE32-E72D297353CC}">
              <c16:uniqueId val="{00000000-F1E2-4E58-A588-13CDDCD64276}"/>
            </c:ext>
          </c:extLst>
        </c:ser>
        <c:ser>
          <c:idx val="1"/>
          <c:order val="1"/>
          <c:tx>
            <c:strRef>
              <c:f>burdonchart!$B$114</c:f>
              <c:strCache>
                <c:ptCount val="1"/>
                <c:pt idx="0">
                  <c:v>Horas Estimadas
Restantes</c:v>
                </c:pt>
              </c:strCache>
            </c:strRef>
          </c:tx>
          <c:spPr>
            <a:ln cmpd="sng">
              <a:solidFill>
                <a:srgbClr val="DC3912"/>
              </a:solidFill>
            </a:ln>
          </c:spPr>
          <c:marker>
            <c:symbol val="none"/>
          </c:marker>
          <c:val>
            <c:numRef>
              <c:f>burdonchart!$C$114:$J$114</c:f>
              <c:numCache>
                <c:formatCode>General</c:formatCode>
                <c:ptCount val="8"/>
                <c:pt idx="0">
                  <c:v>14</c:v>
                </c:pt>
                <c:pt idx="1">
                  <c:v>12</c:v>
                </c:pt>
                <c:pt idx="2">
                  <c:v>10</c:v>
                </c:pt>
                <c:pt idx="3">
                  <c:v>8</c:v>
                </c:pt>
                <c:pt idx="4">
                  <c:v>6</c:v>
                </c:pt>
                <c:pt idx="5">
                  <c:v>4</c:v>
                </c:pt>
                <c:pt idx="6">
                  <c:v>2</c:v>
                </c:pt>
                <c:pt idx="7">
                  <c:v>0</c:v>
                </c:pt>
              </c:numCache>
            </c:numRef>
          </c:val>
          <c:smooth val="0"/>
          <c:extLst>
            <c:ext xmlns:c16="http://schemas.microsoft.com/office/drawing/2014/chart" uri="{C3380CC4-5D6E-409C-BE32-E72D297353CC}">
              <c16:uniqueId val="{00000001-F1E2-4E58-A588-13CDDCD64276}"/>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tx>
            <c:strRef>
              <c:f>burdonchart!$B$133</c:f>
              <c:strCache>
                <c:ptCount val="1"/>
                <c:pt idx="0">
                  <c:v>Horas Estimadas</c:v>
                </c:pt>
              </c:strCache>
            </c:strRef>
          </c:tx>
          <c:spPr>
            <a:ln cmpd="sng">
              <a:solidFill>
                <a:srgbClr val="3366CC"/>
              </a:solidFill>
            </a:ln>
          </c:spPr>
          <c:marker>
            <c:symbol val="none"/>
          </c:marker>
          <c:val>
            <c:numRef>
              <c:f>burdonchart!$C$133:$J$133</c:f>
              <c:numCache>
                <c:formatCode>General</c:formatCode>
                <c:ptCount val="8"/>
                <c:pt idx="0">
                  <c:v>14</c:v>
                </c:pt>
                <c:pt idx="1">
                  <c:v>11</c:v>
                </c:pt>
                <c:pt idx="2">
                  <c:v>10</c:v>
                </c:pt>
                <c:pt idx="3">
                  <c:v>10</c:v>
                </c:pt>
                <c:pt idx="4">
                  <c:v>8</c:v>
                </c:pt>
                <c:pt idx="5">
                  <c:v>5</c:v>
                </c:pt>
                <c:pt idx="6">
                  <c:v>3</c:v>
                </c:pt>
                <c:pt idx="7">
                  <c:v>0</c:v>
                </c:pt>
              </c:numCache>
            </c:numRef>
          </c:val>
          <c:smooth val="0"/>
          <c:extLst>
            <c:ext xmlns:c16="http://schemas.microsoft.com/office/drawing/2014/chart" uri="{C3380CC4-5D6E-409C-BE32-E72D297353CC}">
              <c16:uniqueId val="{00000000-0D24-43FB-AC17-CF2EDD1A3A90}"/>
            </c:ext>
          </c:extLst>
        </c:ser>
        <c:ser>
          <c:idx val="1"/>
          <c:order val="1"/>
          <c:tx>
            <c:strRef>
              <c:f>burdonchart!$B$134</c:f>
              <c:strCache>
                <c:ptCount val="1"/>
                <c:pt idx="0">
                  <c:v>Horas Estimadas
Restantes</c:v>
                </c:pt>
              </c:strCache>
            </c:strRef>
          </c:tx>
          <c:spPr>
            <a:ln cmpd="sng">
              <a:solidFill>
                <a:srgbClr val="DC3912"/>
              </a:solidFill>
            </a:ln>
          </c:spPr>
          <c:marker>
            <c:symbol val="none"/>
          </c:marker>
          <c:val>
            <c:numRef>
              <c:f>burdonchart!$C$134:$J$134</c:f>
              <c:numCache>
                <c:formatCode>General</c:formatCode>
                <c:ptCount val="8"/>
                <c:pt idx="0">
                  <c:v>14</c:v>
                </c:pt>
                <c:pt idx="1">
                  <c:v>12</c:v>
                </c:pt>
                <c:pt idx="2">
                  <c:v>10</c:v>
                </c:pt>
                <c:pt idx="3">
                  <c:v>8</c:v>
                </c:pt>
                <c:pt idx="4">
                  <c:v>6</c:v>
                </c:pt>
                <c:pt idx="5">
                  <c:v>4</c:v>
                </c:pt>
                <c:pt idx="6">
                  <c:v>2</c:v>
                </c:pt>
                <c:pt idx="7">
                  <c:v>0</c:v>
                </c:pt>
              </c:numCache>
            </c:numRef>
          </c:val>
          <c:smooth val="0"/>
          <c:extLst>
            <c:ext xmlns:c16="http://schemas.microsoft.com/office/drawing/2014/chart" uri="{C3380CC4-5D6E-409C-BE32-E72D297353CC}">
              <c16:uniqueId val="{00000001-0D24-43FB-AC17-CF2EDD1A3A90}"/>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12</xdr:col>
      <xdr:colOff>0</xdr:colOff>
      <xdr:row>86</xdr:row>
      <xdr:rowOff>0</xdr:rowOff>
    </xdr:from>
    <xdr:ext cx="6655689" cy="2268590"/>
    <xdr:graphicFrame macro="">
      <xdr:nvGraphicFramePr>
        <xdr:cNvPr id="9" name="Chart 1" title="Gráfico">
          <a:extLst>
            <a:ext uri="{FF2B5EF4-FFF2-40B4-BE49-F238E27FC236}">
              <a16:creationId xmlns:a16="http://schemas.microsoft.com/office/drawing/2014/main" id="{8A66E38F-B130-45C7-BC36-AB5E6C0D9E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0</xdr:colOff>
      <xdr:row>106</xdr:row>
      <xdr:rowOff>0</xdr:rowOff>
    </xdr:from>
    <xdr:ext cx="6655689" cy="2268590"/>
    <xdr:graphicFrame macro="">
      <xdr:nvGraphicFramePr>
        <xdr:cNvPr id="10" name="Chart 1" title="Gráfico">
          <a:extLst>
            <a:ext uri="{FF2B5EF4-FFF2-40B4-BE49-F238E27FC236}">
              <a16:creationId xmlns:a16="http://schemas.microsoft.com/office/drawing/2014/main" id="{67A68FFC-BF5F-4E85-B66E-65A8C053F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12</xdr:col>
      <xdr:colOff>0</xdr:colOff>
      <xdr:row>126</xdr:row>
      <xdr:rowOff>0</xdr:rowOff>
    </xdr:from>
    <xdr:ext cx="6655689" cy="2268590"/>
    <xdr:graphicFrame macro="">
      <xdr:nvGraphicFramePr>
        <xdr:cNvPr id="11" name="Chart 1" title="Gráfico">
          <a:extLst>
            <a:ext uri="{FF2B5EF4-FFF2-40B4-BE49-F238E27FC236}">
              <a16:creationId xmlns:a16="http://schemas.microsoft.com/office/drawing/2014/main" id="{8A1ACDAA-D5A3-4003-B786-5491F82CD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H999"/>
  <sheetViews>
    <sheetView tabSelected="1" zoomScale="90" zoomScaleNormal="90" workbookViewId="0">
      <selection activeCell="D15" sqref="D15"/>
    </sheetView>
  </sheetViews>
  <sheetFormatPr baseColWidth="10" defaultColWidth="12.5703125" defaultRowHeight="15" customHeight="1" x14ac:dyDescent="0.2"/>
  <cols>
    <col min="1" max="1" width="8.28515625" customWidth="1"/>
    <col min="2" max="2" width="57.28515625" customWidth="1"/>
    <col min="3" max="3" width="13.42578125" customWidth="1"/>
    <col min="4" max="4" width="77.28515625" customWidth="1"/>
    <col min="5" max="5" width="84.28515625" customWidth="1"/>
    <col min="6" max="6" width="59.42578125" bestFit="1" customWidth="1"/>
  </cols>
  <sheetData>
    <row r="2" spans="1:8" ht="15.75" customHeight="1" x14ac:dyDescent="0.2">
      <c r="A2" s="25" t="s">
        <v>10</v>
      </c>
      <c r="B2" s="25" t="s">
        <v>0</v>
      </c>
      <c r="C2" s="25" t="s">
        <v>1</v>
      </c>
      <c r="D2" s="25" t="s">
        <v>2</v>
      </c>
      <c r="E2" s="25" t="s">
        <v>3</v>
      </c>
      <c r="F2" s="25" t="s">
        <v>4</v>
      </c>
      <c r="G2" s="25" t="s">
        <v>5</v>
      </c>
      <c r="H2" s="25" t="s">
        <v>6</v>
      </c>
    </row>
    <row r="3" spans="1:8" ht="16.5" hidden="1" customHeight="1" x14ac:dyDescent="0.2">
      <c r="A3" s="31" t="s">
        <v>7</v>
      </c>
      <c r="B3" s="26" t="s">
        <v>67</v>
      </c>
      <c r="C3" s="27" t="s">
        <v>9</v>
      </c>
      <c r="D3" s="28" t="s">
        <v>32</v>
      </c>
      <c r="E3" s="28" t="s">
        <v>33</v>
      </c>
      <c r="F3" s="28" t="s">
        <v>34</v>
      </c>
      <c r="G3" s="29" t="s">
        <v>8</v>
      </c>
      <c r="H3" s="29" t="s">
        <v>125</v>
      </c>
    </row>
    <row r="4" spans="1:8" ht="15.75" hidden="1" customHeight="1" x14ac:dyDescent="0.2">
      <c r="A4" s="31" t="s">
        <v>35</v>
      </c>
      <c r="B4" s="26" t="s">
        <v>68</v>
      </c>
      <c r="C4" s="27" t="s">
        <v>9</v>
      </c>
      <c r="D4" s="28" t="s">
        <v>76</v>
      </c>
      <c r="E4" s="28" t="s">
        <v>70</v>
      </c>
      <c r="F4" s="32"/>
      <c r="G4" s="29" t="s">
        <v>8</v>
      </c>
      <c r="H4" s="29" t="s">
        <v>125</v>
      </c>
    </row>
    <row r="5" spans="1:8" ht="15.75" hidden="1" customHeight="1" x14ac:dyDescent="0.2">
      <c r="A5" s="31" t="s">
        <v>39</v>
      </c>
      <c r="B5" s="26" t="s">
        <v>36</v>
      </c>
      <c r="C5" s="27" t="s">
        <v>9</v>
      </c>
      <c r="D5" s="28" t="s">
        <v>37</v>
      </c>
      <c r="E5" s="28" t="s">
        <v>77</v>
      </c>
      <c r="F5" s="28" t="s">
        <v>38</v>
      </c>
      <c r="G5" s="29" t="s">
        <v>8</v>
      </c>
      <c r="H5" s="29" t="s">
        <v>125</v>
      </c>
    </row>
    <row r="6" spans="1:8" ht="15.75" hidden="1" customHeight="1" x14ac:dyDescent="0.2">
      <c r="A6" s="31" t="s">
        <v>43</v>
      </c>
      <c r="B6" s="26" t="s">
        <v>40</v>
      </c>
      <c r="C6" s="27" t="s">
        <v>9</v>
      </c>
      <c r="D6" s="28" t="s">
        <v>41</v>
      </c>
      <c r="E6" s="28" t="s">
        <v>42</v>
      </c>
      <c r="F6" s="28" t="s">
        <v>89</v>
      </c>
      <c r="G6" s="29" t="s">
        <v>8</v>
      </c>
      <c r="H6" s="29" t="s">
        <v>125</v>
      </c>
    </row>
    <row r="7" spans="1:8" ht="15.75" customHeight="1" x14ac:dyDescent="0.2">
      <c r="A7" s="28" t="s">
        <v>82</v>
      </c>
      <c r="B7" s="30" t="s">
        <v>86</v>
      </c>
      <c r="C7" s="27" t="s">
        <v>9</v>
      </c>
      <c r="D7" s="28" t="s">
        <v>87</v>
      </c>
      <c r="E7" s="30" t="s">
        <v>88</v>
      </c>
      <c r="F7" s="30"/>
      <c r="G7" s="29" t="s">
        <v>8</v>
      </c>
      <c r="H7" s="29" t="s">
        <v>125</v>
      </c>
    </row>
    <row r="8" spans="1:8" ht="15.75" customHeight="1" x14ac:dyDescent="0.2">
      <c r="A8" s="28" t="s">
        <v>83</v>
      </c>
      <c r="B8" s="28" t="s">
        <v>90</v>
      </c>
      <c r="C8" s="27" t="s">
        <v>9</v>
      </c>
      <c r="D8" s="28" t="s">
        <v>91</v>
      </c>
      <c r="E8" s="28" t="s">
        <v>92</v>
      </c>
      <c r="F8" s="30" t="s">
        <v>93</v>
      </c>
      <c r="G8" s="29" t="s">
        <v>8</v>
      </c>
      <c r="H8" s="29" t="s">
        <v>125</v>
      </c>
    </row>
    <row r="9" spans="1:8" ht="15.75" customHeight="1" x14ac:dyDescent="0.2">
      <c r="A9" s="28" t="s">
        <v>84</v>
      </c>
      <c r="B9" s="30" t="s">
        <v>141</v>
      </c>
      <c r="C9" s="27" t="s">
        <v>9</v>
      </c>
      <c r="D9" s="28" t="s">
        <v>95</v>
      </c>
      <c r="E9" s="30" t="s">
        <v>96</v>
      </c>
      <c r="F9" s="30"/>
      <c r="G9" s="29" t="s">
        <v>8</v>
      </c>
      <c r="H9" s="29" t="s">
        <v>125</v>
      </c>
    </row>
    <row r="10" spans="1:8" ht="15.75" hidden="1" customHeight="1" x14ac:dyDescent="0.2">
      <c r="A10" s="28" t="s">
        <v>126</v>
      </c>
      <c r="B10" s="30" t="s">
        <v>144</v>
      </c>
      <c r="C10" s="44" t="s">
        <v>9</v>
      </c>
      <c r="D10" s="28" t="s">
        <v>147</v>
      </c>
      <c r="E10" s="30" t="s">
        <v>150</v>
      </c>
      <c r="F10" s="43"/>
      <c r="G10" s="29" t="s">
        <v>8</v>
      </c>
      <c r="H10" s="29" t="s">
        <v>85</v>
      </c>
    </row>
    <row r="11" spans="1:8" ht="15.75" hidden="1" customHeight="1" x14ac:dyDescent="0.2">
      <c r="A11" s="28" t="s">
        <v>131</v>
      </c>
      <c r="B11" s="30" t="s">
        <v>143</v>
      </c>
      <c r="C11" s="44" t="s">
        <v>9</v>
      </c>
      <c r="D11" s="28" t="s">
        <v>146</v>
      </c>
      <c r="E11" s="30" t="s">
        <v>149</v>
      </c>
      <c r="F11" s="43"/>
      <c r="G11" s="29" t="s">
        <v>8</v>
      </c>
      <c r="H11" s="29" t="s">
        <v>85</v>
      </c>
    </row>
    <row r="12" spans="1:8" ht="15.75" hidden="1" customHeight="1" x14ac:dyDescent="0.2">
      <c r="A12" s="28" t="s">
        <v>136</v>
      </c>
      <c r="B12" s="30" t="s">
        <v>142</v>
      </c>
      <c r="C12" s="44" t="s">
        <v>9</v>
      </c>
      <c r="D12" s="28" t="s">
        <v>145</v>
      </c>
      <c r="E12" s="30" t="s">
        <v>148</v>
      </c>
      <c r="F12" s="43"/>
      <c r="G12" s="29" t="s">
        <v>8</v>
      </c>
      <c r="H12" s="29" t="s">
        <v>85</v>
      </c>
    </row>
    <row r="15" spans="1:8" ht="15.75" customHeight="1" x14ac:dyDescent="0.2"/>
    <row r="16" spans="1:8"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phoneticPr fontId="8" type="noConversion"/>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6"/>
  <sheetViews>
    <sheetView zoomScale="81" zoomScaleNormal="90" workbookViewId="0">
      <selection activeCell="I27" sqref="I27:I30"/>
    </sheetView>
  </sheetViews>
  <sheetFormatPr baseColWidth="10" defaultColWidth="12.5703125" defaultRowHeight="15" customHeight="1" x14ac:dyDescent="0.2"/>
  <cols>
    <col min="1" max="2" width="12.5703125" customWidth="1"/>
    <col min="3" max="3" width="35.140625" customWidth="1"/>
    <col min="4" max="4" width="20.42578125" bestFit="1" customWidth="1"/>
    <col min="5" max="5" width="41.28515625" bestFit="1" customWidth="1"/>
    <col min="6" max="6" width="56.140625" customWidth="1"/>
    <col min="7" max="7" width="29" bestFit="1" customWidth="1"/>
  </cols>
  <sheetData>
    <row r="1" spans="1:26" ht="15.75" customHeight="1" thickBot="1" x14ac:dyDescent="0.25">
      <c r="A1" s="7"/>
      <c r="B1" s="7"/>
      <c r="C1" s="7"/>
      <c r="D1" s="7"/>
      <c r="E1" s="7"/>
      <c r="F1" s="7"/>
      <c r="G1" s="7"/>
      <c r="H1" s="7"/>
      <c r="I1" s="7"/>
      <c r="J1" s="7"/>
      <c r="K1" s="7"/>
      <c r="L1" s="7"/>
      <c r="M1" s="7"/>
      <c r="N1" s="7"/>
      <c r="O1" s="7"/>
      <c r="P1" s="7"/>
      <c r="Q1" s="7"/>
      <c r="R1" s="7"/>
      <c r="S1" s="7"/>
      <c r="T1" s="7"/>
      <c r="U1" s="7"/>
      <c r="V1" s="7"/>
      <c r="W1" s="7"/>
      <c r="X1" s="7"/>
      <c r="Y1" s="7"/>
      <c r="Z1" s="7"/>
    </row>
    <row r="2" spans="1:26" ht="15.75" customHeight="1" thickBot="1" x14ac:dyDescent="0.25">
      <c r="A2" s="7"/>
      <c r="B2" s="7"/>
      <c r="C2" s="7"/>
      <c r="D2" s="7"/>
      <c r="E2" s="7"/>
      <c r="F2" s="7"/>
      <c r="G2" s="7"/>
      <c r="H2" s="7"/>
      <c r="I2" s="7"/>
      <c r="J2" s="7"/>
      <c r="K2" s="7"/>
      <c r="L2" s="7"/>
      <c r="M2" s="7"/>
      <c r="N2" s="7"/>
      <c r="O2" s="7"/>
      <c r="P2" s="7"/>
      <c r="Q2" s="7"/>
      <c r="R2" s="7"/>
      <c r="S2" s="7"/>
      <c r="T2" s="7"/>
      <c r="U2" s="7"/>
      <c r="V2" s="7"/>
      <c r="W2" s="7"/>
      <c r="X2" s="7"/>
      <c r="Y2" s="7"/>
      <c r="Z2" s="7"/>
    </row>
    <row r="3" spans="1:26" ht="15.75" customHeight="1" thickBot="1" x14ac:dyDescent="0.25">
      <c r="A3" s="7"/>
      <c r="B3" s="8" t="s">
        <v>10</v>
      </c>
      <c r="C3" s="8" t="s">
        <v>0</v>
      </c>
      <c r="D3" s="8" t="s">
        <v>1</v>
      </c>
      <c r="E3" s="8" t="s">
        <v>11</v>
      </c>
      <c r="F3" s="8" t="s">
        <v>12</v>
      </c>
      <c r="G3" s="8" t="s">
        <v>4</v>
      </c>
      <c r="H3" s="8" t="s">
        <v>13</v>
      </c>
      <c r="I3" s="8" t="s">
        <v>14</v>
      </c>
      <c r="J3" s="7"/>
      <c r="K3" s="7"/>
      <c r="L3" s="7"/>
      <c r="M3" s="7"/>
      <c r="N3" s="7"/>
      <c r="O3" s="7"/>
      <c r="P3" s="7"/>
      <c r="Q3" s="7"/>
      <c r="R3" s="7"/>
      <c r="S3" s="7"/>
      <c r="T3" s="7"/>
      <c r="U3" s="7"/>
      <c r="V3" s="7"/>
      <c r="W3" s="7"/>
      <c r="X3" s="7"/>
      <c r="Y3" s="7"/>
      <c r="Z3" s="7"/>
    </row>
    <row r="4" spans="1:26" ht="15.75" customHeight="1" thickBot="1" x14ac:dyDescent="0.25">
      <c r="A4" s="7"/>
      <c r="B4" s="9" t="s">
        <v>7</v>
      </c>
      <c r="C4" s="18" t="s">
        <v>67</v>
      </c>
      <c r="D4" s="9" t="s">
        <v>9</v>
      </c>
      <c r="E4" s="18" t="s">
        <v>32</v>
      </c>
      <c r="F4" s="18" t="s">
        <v>33</v>
      </c>
      <c r="G4" s="9"/>
      <c r="H4" s="9" t="s">
        <v>8</v>
      </c>
      <c r="I4" s="9" t="s">
        <v>125</v>
      </c>
      <c r="J4" s="7"/>
      <c r="K4" s="10"/>
      <c r="L4" s="10"/>
      <c r="M4" s="10"/>
      <c r="N4" s="10"/>
      <c r="O4" s="10"/>
      <c r="P4" s="10"/>
      <c r="Q4" s="10"/>
      <c r="R4" s="10"/>
      <c r="S4" s="7"/>
      <c r="T4" s="7"/>
      <c r="U4" s="7"/>
      <c r="V4" s="7"/>
      <c r="W4" s="7"/>
      <c r="X4" s="7"/>
      <c r="Y4" s="7"/>
      <c r="Z4" s="7"/>
    </row>
    <row r="5" spans="1:26" ht="15.75" customHeight="1" thickBot="1" x14ac:dyDescent="0.25">
      <c r="A5" s="7"/>
      <c r="B5" s="7"/>
      <c r="C5" s="11" t="s">
        <v>15</v>
      </c>
      <c r="D5" s="7"/>
      <c r="E5" s="7"/>
      <c r="F5" s="7"/>
      <c r="G5" s="11" t="s">
        <v>16</v>
      </c>
      <c r="H5" s="7"/>
      <c r="I5" s="11" t="s">
        <v>17</v>
      </c>
      <c r="J5" s="7"/>
      <c r="K5" s="7"/>
      <c r="L5" s="7"/>
      <c r="M5" s="7"/>
      <c r="N5" s="7"/>
      <c r="O5" s="7"/>
      <c r="P5" s="7"/>
      <c r="Q5" s="7"/>
      <c r="R5" s="7"/>
      <c r="S5" s="7"/>
      <c r="T5" s="7"/>
      <c r="U5" s="7"/>
      <c r="V5" s="7"/>
      <c r="W5" s="7"/>
      <c r="X5" s="7"/>
      <c r="Y5" s="7"/>
      <c r="Z5" s="7"/>
    </row>
    <row r="6" spans="1:26" ht="15.75" customHeight="1" thickBot="1" x14ac:dyDescent="0.25">
      <c r="A6" s="7"/>
      <c r="B6" s="12" t="s">
        <v>18</v>
      </c>
      <c r="C6" s="51" t="s">
        <v>44</v>
      </c>
      <c r="D6" s="52"/>
      <c r="E6" s="52"/>
      <c r="F6" s="53"/>
      <c r="G6" s="7" t="s">
        <v>45</v>
      </c>
      <c r="H6" s="7"/>
      <c r="I6" s="13">
        <v>4</v>
      </c>
      <c r="J6" s="7"/>
      <c r="K6" s="7"/>
      <c r="L6" s="48"/>
      <c r="M6" s="49"/>
      <c r="N6" s="49"/>
      <c r="O6" s="50"/>
      <c r="P6" s="7"/>
      <c r="Q6" s="7"/>
      <c r="R6" s="7"/>
      <c r="S6" s="7"/>
      <c r="T6" s="7"/>
      <c r="U6" s="7"/>
      <c r="V6" s="7"/>
      <c r="W6" s="7"/>
      <c r="X6" s="7"/>
      <c r="Y6" s="7"/>
      <c r="Z6" s="7"/>
    </row>
    <row r="7" spans="1:26" ht="15.75" customHeight="1" thickBot="1" x14ac:dyDescent="0.25">
      <c r="A7" s="7"/>
      <c r="B7" s="12" t="s">
        <v>19</v>
      </c>
      <c r="C7" s="51" t="s">
        <v>78</v>
      </c>
      <c r="D7" s="52"/>
      <c r="E7" s="52"/>
      <c r="F7" s="53"/>
      <c r="G7" s="7" t="s">
        <v>45</v>
      </c>
      <c r="H7" s="7"/>
      <c r="I7" s="13">
        <v>2</v>
      </c>
      <c r="J7" s="7"/>
      <c r="K7" s="7"/>
      <c r="L7" s="48"/>
      <c r="M7" s="49"/>
      <c r="N7" s="49"/>
      <c r="O7" s="50"/>
      <c r="P7" s="7"/>
      <c r="Q7" s="7"/>
      <c r="R7" s="7"/>
      <c r="S7" s="7"/>
      <c r="T7" s="7"/>
      <c r="U7" s="7"/>
      <c r="V7" s="7"/>
      <c r="W7" s="7"/>
      <c r="X7" s="7"/>
      <c r="Y7" s="7"/>
      <c r="Z7" s="7"/>
    </row>
    <row r="8" spans="1:26" ht="15.75" customHeight="1" thickBot="1" x14ac:dyDescent="0.25">
      <c r="A8" s="7"/>
      <c r="B8" s="12" t="s">
        <v>20</v>
      </c>
      <c r="C8" s="51" t="s">
        <v>46</v>
      </c>
      <c r="D8" s="52"/>
      <c r="E8" s="52"/>
      <c r="F8" s="53"/>
      <c r="G8" s="7" t="s">
        <v>45</v>
      </c>
      <c r="H8" s="7"/>
      <c r="I8" s="13">
        <v>3</v>
      </c>
      <c r="J8" s="7"/>
      <c r="K8" s="7"/>
      <c r="L8" s="48"/>
      <c r="M8" s="49"/>
      <c r="N8" s="49"/>
      <c r="O8" s="50"/>
      <c r="P8" s="7"/>
      <c r="Q8" s="7"/>
      <c r="R8" s="7"/>
      <c r="S8" s="7"/>
      <c r="T8" s="7"/>
      <c r="U8" s="7"/>
      <c r="V8" s="7"/>
      <c r="W8" s="7"/>
      <c r="X8" s="7"/>
      <c r="Y8" s="7"/>
      <c r="Z8" s="7"/>
    </row>
    <row r="9" spans="1:26" ht="15.75" customHeight="1" thickBot="1" x14ac:dyDescent="0.25">
      <c r="A9" s="7"/>
      <c r="B9" s="14" t="s">
        <v>31</v>
      </c>
      <c r="C9" s="51" t="s">
        <v>79</v>
      </c>
      <c r="D9" s="52"/>
      <c r="E9" s="52"/>
      <c r="F9" s="53"/>
      <c r="G9" s="7" t="s">
        <v>45</v>
      </c>
      <c r="H9" s="7"/>
      <c r="I9" s="13">
        <v>1</v>
      </c>
      <c r="J9" s="7"/>
      <c r="K9" s="15"/>
      <c r="L9" s="48"/>
      <c r="M9" s="49"/>
      <c r="N9" s="49"/>
      <c r="O9" s="50"/>
      <c r="P9" s="7"/>
      <c r="Q9" s="7"/>
      <c r="R9" s="7"/>
      <c r="S9" s="7"/>
      <c r="T9" s="7"/>
      <c r="U9" s="7"/>
      <c r="V9" s="7"/>
      <c r="W9" s="7"/>
      <c r="X9" s="7"/>
      <c r="Y9" s="7"/>
      <c r="Z9" s="7"/>
    </row>
    <row r="10" spans="1:26" ht="15.75" customHeight="1" thickBot="1" x14ac:dyDescent="0.25">
      <c r="A10" s="7"/>
      <c r="B10" s="14"/>
      <c r="C10" s="19"/>
      <c r="D10" s="20"/>
      <c r="E10" s="20"/>
      <c r="F10" s="21"/>
      <c r="G10" s="7"/>
      <c r="H10" s="7"/>
      <c r="I10" s="13"/>
      <c r="J10" s="7"/>
      <c r="K10" s="15"/>
      <c r="L10" s="22"/>
      <c r="M10" s="23"/>
      <c r="N10" s="23"/>
      <c r="O10" s="24"/>
      <c r="P10" s="7"/>
      <c r="Q10" s="7"/>
      <c r="R10" s="7"/>
      <c r="S10" s="7"/>
      <c r="T10" s="7"/>
      <c r="U10" s="7"/>
      <c r="V10" s="7"/>
      <c r="W10" s="7"/>
      <c r="X10" s="7"/>
      <c r="Y10" s="7"/>
      <c r="Z10" s="7"/>
    </row>
    <row r="11" spans="1:26" ht="15.75" customHeight="1" thickBot="1" x14ac:dyDescent="0.25">
      <c r="A11" s="7"/>
      <c r="B11" s="9" t="s">
        <v>35</v>
      </c>
      <c r="C11" s="18" t="s">
        <v>68</v>
      </c>
      <c r="D11" s="9" t="s">
        <v>9</v>
      </c>
      <c r="E11" s="18" t="s">
        <v>69</v>
      </c>
      <c r="F11" s="18" t="s">
        <v>70</v>
      </c>
      <c r="G11" s="9"/>
      <c r="H11" s="9" t="s">
        <v>8</v>
      </c>
      <c r="I11" s="9" t="s">
        <v>125</v>
      </c>
      <c r="J11" s="7"/>
      <c r="K11" s="15"/>
      <c r="L11" s="22"/>
      <c r="M11" s="23"/>
      <c r="N11" s="23"/>
      <c r="O11" s="24"/>
      <c r="P11" s="7"/>
      <c r="Q11" s="7"/>
      <c r="R11" s="7"/>
      <c r="S11" s="7"/>
      <c r="T11" s="7"/>
      <c r="U11" s="7"/>
      <c r="V11" s="7"/>
      <c r="W11" s="7"/>
      <c r="X11" s="7"/>
      <c r="Y11" s="7"/>
      <c r="Z11" s="7"/>
    </row>
    <row r="12" spans="1:26" ht="15.75" customHeight="1" thickBot="1" x14ac:dyDescent="0.25">
      <c r="A12" s="7"/>
      <c r="B12" s="7"/>
      <c r="C12" s="11" t="s">
        <v>15</v>
      </c>
      <c r="D12" s="7"/>
      <c r="E12" s="7"/>
      <c r="F12" s="7"/>
      <c r="G12" s="11" t="s">
        <v>16</v>
      </c>
      <c r="H12" s="7"/>
      <c r="I12" s="11" t="s">
        <v>17</v>
      </c>
      <c r="J12" s="7"/>
      <c r="K12" s="15"/>
      <c r="L12" s="22"/>
      <c r="M12" s="23"/>
      <c r="N12" s="23"/>
      <c r="O12" s="24"/>
      <c r="P12" s="7"/>
      <c r="Q12" s="7"/>
      <c r="R12" s="7"/>
      <c r="S12" s="7"/>
      <c r="T12" s="7"/>
      <c r="U12" s="7"/>
      <c r="V12" s="7"/>
      <c r="W12" s="7"/>
      <c r="X12" s="7"/>
      <c r="Y12" s="7"/>
      <c r="Z12" s="7"/>
    </row>
    <row r="13" spans="1:26" ht="15.75" customHeight="1" thickBot="1" x14ac:dyDescent="0.25">
      <c r="A13" s="7"/>
      <c r="B13" s="16" t="s">
        <v>47</v>
      </c>
      <c r="C13" s="19" t="s">
        <v>72</v>
      </c>
      <c r="D13" s="20"/>
      <c r="E13" s="20"/>
      <c r="F13" s="21"/>
      <c r="G13" s="7" t="s">
        <v>71</v>
      </c>
      <c r="H13" s="7"/>
      <c r="I13" s="13">
        <v>5</v>
      </c>
      <c r="J13" s="7"/>
      <c r="K13" s="15"/>
      <c r="L13" s="22"/>
      <c r="M13" s="23"/>
      <c r="N13" s="23"/>
      <c r="O13" s="24"/>
      <c r="P13" s="7"/>
      <c r="Q13" s="7"/>
      <c r="R13" s="7"/>
      <c r="S13" s="7"/>
      <c r="T13" s="7"/>
      <c r="U13" s="7"/>
      <c r="V13" s="7"/>
      <c r="W13" s="7"/>
      <c r="X13" s="7"/>
      <c r="Y13" s="7"/>
      <c r="Z13" s="7"/>
    </row>
    <row r="14" spans="1:26" ht="15.75" customHeight="1" thickBot="1" x14ac:dyDescent="0.25">
      <c r="A14" s="7"/>
      <c r="B14" s="16" t="s">
        <v>50</v>
      </c>
      <c r="C14" s="19" t="s">
        <v>73</v>
      </c>
      <c r="D14" s="20"/>
      <c r="E14" s="20"/>
      <c r="F14" s="21"/>
      <c r="G14" s="7" t="s">
        <v>71</v>
      </c>
      <c r="H14" s="7"/>
      <c r="I14" s="40">
        <v>2</v>
      </c>
      <c r="J14" s="7"/>
      <c r="K14" s="15"/>
      <c r="L14" s="22"/>
      <c r="M14" s="23"/>
      <c r="N14" s="23"/>
      <c r="O14" s="24"/>
      <c r="P14" s="7"/>
      <c r="Q14" s="7"/>
      <c r="R14" s="7"/>
      <c r="S14" s="7"/>
      <c r="T14" s="7"/>
      <c r="U14" s="7"/>
      <c r="V14" s="7"/>
      <c r="W14" s="7"/>
      <c r="X14" s="7"/>
      <c r="Y14" s="7"/>
      <c r="Z14" s="7"/>
    </row>
    <row r="15" spans="1:26" ht="15.75" customHeight="1" thickBot="1" x14ac:dyDescent="0.25">
      <c r="A15" s="7"/>
      <c r="B15" s="16" t="s">
        <v>52</v>
      </c>
      <c r="C15" s="19" t="s">
        <v>74</v>
      </c>
      <c r="D15" s="20"/>
      <c r="E15" s="20"/>
      <c r="F15" s="21"/>
      <c r="G15" s="7" t="s">
        <v>71</v>
      </c>
      <c r="H15" s="7"/>
      <c r="I15" s="41">
        <v>2</v>
      </c>
      <c r="J15" s="13"/>
      <c r="K15" s="15"/>
      <c r="L15" s="22"/>
      <c r="M15" s="23"/>
      <c r="N15" s="23"/>
      <c r="O15" s="24"/>
      <c r="P15" s="7"/>
      <c r="Q15" s="7"/>
      <c r="R15" s="7"/>
      <c r="S15" s="7"/>
      <c r="T15" s="7"/>
      <c r="U15" s="7"/>
      <c r="V15" s="7"/>
      <c r="W15" s="7"/>
      <c r="X15" s="7"/>
      <c r="Y15" s="7"/>
      <c r="Z15" s="7"/>
    </row>
    <row r="16" spans="1:26" ht="15.75" customHeight="1" thickBot="1" x14ac:dyDescent="0.25">
      <c r="A16" s="7"/>
      <c r="B16" s="12" t="s">
        <v>54</v>
      </c>
      <c r="C16" s="19" t="s">
        <v>75</v>
      </c>
      <c r="D16" s="17"/>
      <c r="E16" s="17"/>
      <c r="F16" s="17"/>
      <c r="G16" s="7" t="s">
        <v>71</v>
      </c>
      <c r="H16" s="7"/>
      <c r="I16" s="13">
        <v>3</v>
      </c>
      <c r="J16" s="7"/>
      <c r="K16" s="15"/>
      <c r="L16" s="22"/>
      <c r="M16" s="23"/>
      <c r="N16" s="23"/>
      <c r="O16" s="24"/>
      <c r="P16" s="7"/>
      <c r="Q16" s="7"/>
      <c r="R16" s="7"/>
      <c r="S16" s="7"/>
      <c r="T16" s="7"/>
      <c r="U16" s="7"/>
      <c r="V16" s="7"/>
      <c r="W16" s="7"/>
      <c r="X16" s="7"/>
      <c r="Y16" s="7"/>
      <c r="Z16" s="7"/>
    </row>
    <row r="17" spans="1:26" ht="15.75" customHeight="1" thickBot="1" x14ac:dyDescent="0.25">
      <c r="A17" s="7"/>
      <c r="B17" s="7"/>
      <c r="C17" s="7"/>
      <c r="D17" s="7"/>
      <c r="E17" s="7"/>
      <c r="F17" s="7"/>
      <c r="G17" s="7"/>
      <c r="H17" s="7"/>
      <c r="I17" s="7"/>
      <c r="J17" s="7"/>
      <c r="K17" s="7"/>
      <c r="L17" s="7"/>
      <c r="M17" s="7"/>
      <c r="N17" s="7"/>
      <c r="O17" s="7"/>
      <c r="P17" s="7"/>
      <c r="Q17" s="7"/>
      <c r="R17" s="7"/>
      <c r="S17" s="7"/>
      <c r="T17" s="7"/>
      <c r="U17" s="7"/>
      <c r="V17" s="7"/>
      <c r="W17" s="7"/>
      <c r="X17" s="7"/>
      <c r="Y17" s="7"/>
      <c r="Z17" s="7"/>
    </row>
    <row r="18" spans="1:26" ht="15.75" customHeight="1" thickBot="1" x14ac:dyDescent="0.25">
      <c r="A18" s="7"/>
      <c r="B18" s="9" t="s">
        <v>39</v>
      </c>
      <c r="C18" s="18" t="s">
        <v>36</v>
      </c>
      <c r="D18" s="9" t="s">
        <v>9</v>
      </c>
      <c r="E18" s="18" t="s">
        <v>37</v>
      </c>
      <c r="F18" s="18" t="s">
        <v>77</v>
      </c>
      <c r="G18" s="18" t="s">
        <v>38</v>
      </c>
      <c r="H18" s="9" t="s">
        <v>8</v>
      </c>
      <c r="I18" s="9" t="s">
        <v>125</v>
      </c>
      <c r="J18" s="7"/>
      <c r="K18" s="7"/>
      <c r="L18" s="7"/>
      <c r="M18" s="7"/>
      <c r="N18" s="7"/>
      <c r="O18" s="7"/>
      <c r="P18" s="7"/>
      <c r="Q18" s="7"/>
      <c r="R18" s="7"/>
      <c r="S18" s="7"/>
      <c r="T18" s="7"/>
      <c r="U18" s="7"/>
      <c r="V18" s="7"/>
      <c r="W18" s="7"/>
      <c r="X18" s="7"/>
      <c r="Y18" s="7"/>
      <c r="Z18" s="7"/>
    </row>
    <row r="19" spans="1:26" ht="15.75" customHeight="1" thickBot="1" x14ac:dyDescent="0.25">
      <c r="A19" s="7"/>
      <c r="B19" s="7"/>
      <c r="C19" s="11" t="s">
        <v>15</v>
      </c>
      <c r="D19" s="7"/>
      <c r="E19" s="7"/>
      <c r="F19" s="7"/>
      <c r="G19" s="11" t="s">
        <v>16</v>
      </c>
      <c r="H19" s="7"/>
      <c r="I19" s="11" t="s">
        <v>17</v>
      </c>
      <c r="J19" s="7"/>
      <c r="K19" s="7"/>
      <c r="L19" s="7"/>
      <c r="M19" s="7"/>
      <c r="N19" s="7"/>
      <c r="O19" s="7"/>
      <c r="P19" s="7"/>
      <c r="Q19" s="7"/>
      <c r="R19" s="7"/>
      <c r="S19" s="7"/>
      <c r="T19" s="7"/>
      <c r="U19" s="7"/>
      <c r="V19" s="7"/>
      <c r="W19" s="7"/>
      <c r="X19" s="7"/>
      <c r="Y19" s="7"/>
      <c r="Z19" s="7"/>
    </row>
    <row r="20" spans="1:26" ht="15.75" customHeight="1" thickBot="1" x14ac:dyDescent="0.25">
      <c r="A20" s="7"/>
      <c r="B20" s="16" t="s">
        <v>55</v>
      </c>
      <c r="C20" s="51" t="s">
        <v>48</v>
      </c>
      <c r="D20" s="52"/>
      <c r="E20" s="52"/>
      <c r="F20" s="53"/>
      <c r="G20" s="7" t="s">
        <v>49</v>
      </c>
      <c r="H20" s="7"/>
      <c r="I20" s="13">
        <v>3</v>
      </c>
      <c r="J20" s="7"/>
      <c r="K20" s="7"/>
      <c r="L20" s="7"/>
      <c r="M20" s="7"/>
      <c r="N20" s="7"/>
      <c r="O20" s="7"/>
      <c r="P20" s="7"/>
      <c r="Q20" s="7"/>
      <c r="R20" s="7"/>
      <c r="S20" s="7"/>
      <c r="T20" s="7"/>
      <c r="U20" s="7"/>
      <c r="V20" s="7"/>
      <c r="W20" s="7"/>
      <c r="X20" s="7"/>
      <c r="Y20" s="7"/>
      <c r="Z20" s="7"/>
    </row>
    <row r="21" spans="1:26" ht="15.75" customHeight="1" thickBot="1" x14ac:dyDescent="0.25">
      <c r="A21" s="7"/>
      <c r="B21" s="16" t="s">
        <v>58</v>
      </c>
      <c r="C21" s="51" t="s">
        <v>51</v>
      </c>
      <c r="D21" s="52"/>
      <c r="E21" s="52"/>
      <c r="F21" s="53"/>
      <c r="G21" s="7" t="s">
        <v>49</v>
      </c>
      <c r="H21" s="7"/>
      <c r="I21" s="13">
        <v>3</v>
      </c>
      <c r="J21" s="7"/>
      <c r="K21" s="7"/>
      <c r="L21" s="7"/>
      <c r="M21" s="7"/>
      <c r="N21" s="7"/>
      <c r="O21" s="7"/>
      <c r="P21" s="7"/>
      <c r="Q21" s="7"/>
      <c r="R21" s="7"/>
      <c r="S21" s="7"/>
      <c r="T21" s="7"/>
      <c r="U21" s="7"/>
      <c r="V21" s="7"/>
      <c r="W21" s="7"/>
      <c r="X21" s="7"/>
      <c r="Y21" s="7"/>
      <c r="Z21" s="7"/>
    </row>
    <row r="22" spans="1:26" ht="15.75" customHeight="1" thickBot="1" x14ac:dyDescent="0.25">
      <c r="A22" s="7"/>
      <c r="B22" s="16" t="s">
        <v>60</v>
      </c>
      <c r="C22" s="51" t="s">
        <v>53</v>
      </c>
      <c r="D22" s="52"/>
      <c r="E22" s="52"/>
      <c r="F22" s="53"/>
      <c r="G22" s="7" t="s">
        <v>49</v>
      </c>
      <c r="H22" s="7"/>
      <c r="I22" s="13">
        <v>2</v>
      </c>
      <c r="J22" s="7"/>
      <c r="K22" s="7"/>
      <c r="L22" s="7"/>
      <c r="M22" s="7"/>
      <c r="N22" s="7"/>
      <c r="O22" s="7"/>
      <c r="P22" s="7"/>
      <c r="Q22" s="7"/>
      <c r="R22" s="7"/>
      <c r="S22" s="7"/>
      <c r="T22" s="7"/>
      <c r="U22" s="7"/>
      <c r="V22" s="7"/>
      <c r="W22" s="7"/>
      <c r="X22" s="7"/>
      <c r="Y22" s="7"/>
      <c r="Z22" s="7"/>
    </row>
    <row r="23" spans="1:26" ht="15.75" customHeight="1" thickBot="1" x14ac:dyDescent="0.25">
      <c r="A23" s="7"/>
      <c r="B23" s="16" t="s">
        <v>62</v>
      </c>
      <c r="C23" s="17" t="s">
        <v>80</v>
      </c>
      <c r="D23" s="17"/>
      <c r="E23" s="17"/>
      <c r="F23" s="17"/>
      <c r="G23" s="7" t="s">
        <v>49</v>
      </c>
      <c r="H23" s="7"/>
      <c r="I23" s="13">
        <v>4</v>
      </c>
      <c r="J23" s="7"/>
      <c r="K23" s="7"/>
      <c r="L23" s="7"/>
      <c r="M23" s="7"/>
      <c r="N23" s="7"/>
      <c r="O23" s="7"/>
      <c r="P23" s="7"/>
      <c r="Q23" s="7"/>
      <c r="R23" s="7"/>
      <c r="S23" s="7"/>
      <c r="T23" s="7"/>
      <c r="U23" s="7"/>
      <c r="V23" s="7"/>
      <c r="W23" s="7"/>
      <c r="X23" s="7"/>
      <c r="Y23" s="7"/>
      <c r="Z23" s="7"/>
    </row>
    <row r="24" spans="1:26" ht="15.75" customHeight="1" thickBot="1" x14ac:dyDescent="0.25">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5.75" customHeight="1" thickBot="1" x14ac:dyDescent="0.25">
      <c r="A25" s="7"/>
      <c r="B25" s="9" t="s">
        <v>43</v>
      </c>
      <c r="C25" s="18" t="s">
        <v>40</v>
      </c>
      <c r="D25" s="9" t="s">
        <v>9</v>
      </c>
      <c r="E25" s="18" t="s">
        <v>41</v>
      </c>
      <c r="F25" s="18" t="s">
        <v>42</v>
      </c>
      <c r="G25" s="9"/>
      <c r="H25" s="9" t="s">
        <v>8</v>
      </c>
      <c r="I25" s="9" t="s">
        <v>125</v>
      </c>
      <c r="J25" s="7"/>
      <c r="K25" s="7"/>
      <c r="L25" s="7"/>
      <c r="M25" s="7"/>
      <c r="N25" s="7"/>
      <c r="O25" s="7"/>
      <c r="P25" s="7"/>
      <c r="Q25" s="7"/>
      <c r="R25" s="7"/>
      <c r="S25" s="7"/>
      <c r="T25" s="7"/>
      <c r="U25" s="7"/>
      <c r="V25" s="7"/>
      <c r="W25" s="7"/>
      <c r="X25" s="7"/>
      <c r="Y25" s="7"/>
      <c r="Z25" s="7"/>
    </row>
    <row r="26" spans="1:26" ht="15.75" customHeight="1" thickBot="1" x14ac:dyDescent="0.25">
      <c r="A26" s="7"/>
      <c r="B26" s="7"/>
      <c r="C26" s="11" t="s">
        <v>15</v>
      </c>
      <c r="D26" s="7"/>
      <c r="E26" s="7"/>
      <c r="F26" s="7"/>
      <c r="G26" s="11" t="s">
        <v>16</v>
      </c>
      <c r="H26" s="7"/>
      <c r="I26" s="11" t="s">
        <v>17</v>
      </c>
      <c r="J26" s="7"/>
      <c r="K26" s="7"/>
      <c r="L26" s="7"/>
      <c r="M26" s="7"/>
      <c r="N26" s="7"/>
      <c r="O26" s="7"/>
      <c r="P26" s="7"/>
      <c r="Q26" s="7"/>
      <c r="R26" s="7"/>
      <c r="S26" s="7"/>
      <c r="T26" s="7"/>
      <c r="U26" s="7"/>
      <c r="V26" s="7"/>
      <c r="W26" s="7"/>
      <c r="X26" s="7"/>
      <c r="Y26" s="7"/>
      <c r="Z26" s="7"/>
    </row>
    <row r="27" spans="1:26" ht="15.75" customHeight="1" thickBot="1" x14ac:dyDescent="0.25">
      <c r="A27" s="7"/>
      <c r="B27" s="16" t="s">
        <v>63</v>
      </c>
      <c r="C27" s="17" t="s">
        <v>56</v>
      </c>
      <c r="D27" s="7"/>
      <c r="E27" s="7"/>
      <c r="F27" s="7"/>
      <c r="G27" s="7" t="s">
        <v>57</v>
      </c>
      <c r="H27" s="7"/>
      <c r="I27" s="13">
        <v>4</v>
      </c>
      <c r="J27" s="7"/>
      <c r="K27" s="7"/>
      <c r="L27" s="7"/>
      <c r="M27" s="7"/>
      <c r="N27" s="7"/>
      <c r="O27" s="7"/>
      <c r="P27" s="7"/>
      <c r="Q27" s="7"/>
      <c r="R27" s="7"/>
      <c r="S27" s="7"/>
      <c r="T27" s="7"/>
      <c r="U27" s="7"/>
      <c r="V27" s="7"/>
      <c r="W27" s="7"/>
      <c r="X27" s="7"/>
      <c r="Y27" s="7"/>
      <c r="Z27" s="7"/>
    </row>
    <row r="28" spans="1:26" ht="15.75" customHeight="1" thickBot="1" x14ac:dyDescent="0.25">
      <c r="A28" s="7"/>
      <c r="B28" s="16" t="s">
        <v>64</v>
      </c>
      <c r="C28" s="17" t="s">
        <v>59</v>
      </c>
      <c r="D28" s="7"/>
      <c r="E28" s="7"/>
      <c r="F28" s="7"/>
      <c r="G28" s="7" t="s">
        <v>57</v>
      </c>
      <c r="H28" s="7"/>
      <c r="I28" s="13">
        <v>5</v>
      </c>
      <c r="J28" s="7"/>
      <c r="K28" s="7"/>
      <c r="L28" s="7"/>
      <c r="M28" s="7"/>
      <c r="N28" s="7"/>
      <c r="O28" s="7"/>
      <c r="P28" s="7"/>
      <c r="Q28" s="7"/>
      <c r="R28" s="7"/>
      <c r="S28" s="7"/>
      <c r="T28" s="7"/>
      <c r="U28" s="7"/>
      <c r="V28" s="7"/>
      <c r="W28" s="7"/>
      <c r="X28" s="7"/>
      <c r="Y28" s="7"/>
      <c r="Z28" s="7"/>
    </row>
    <row r="29" spans="1:26" ht="15.75" customHeight="1" thickBot="1" x14ac:dyDescent="0.25">
      <c r="A29" s="7"/>
      <c r="B29" s="16" t="s">
        <v>65</v>
      </c>
      <c r="C29" s="17" t="s">
        <v>61</v>
      </c>
      <c r="D29" s="7"/>
      <c r="E29" s="7"/>
      <c r="F29" s="7"/>
      <c r="G29" s="7" t="s">
        <v>57</v>
      </c>
      <c r="H29" s="7"/>
      <c r="I29" s="13">
        <v>2</v>
      </c>
      <c r="J29" s="7"/>
      <c r="K29" s="7"/>
      <c r="L29" s="7"/>
      <c r="M29" s="7"/>
      <c r="N29" s="7"/>
      <c r="O29" s="7"/>
      <c r="P29" s="7"/>
      <c r="Q29" s="7"/>
      <c r="R29" s="7"/>
      <c r="S29" s="7"/>
      <c r="T29" s="7"/>
      <c r="U29" s="7"/>
      <c r="V29" s="7"/>
      <c r="W29" s="7"/>
      <c r="X29" s="7"/>
      <c r="Y29" s="7"/>
      <c r="Z29" s="7"/>
    </row>
    <row r="30" spans="1:26" ht="15.75" customHeight="1" thickBot="1" x14ac:dyDescent="0.25">
      <c r="A30" s="7"/>
      <c r="B30" s="16" t="s">
        <v>66</v>
      </c>
      <c r="C30" s="17" t="s">
        <v>81</v>
      </c>
      <c r="D30" s="7"/>
      <c r="E30" s="7"/>
      <c r="F30" s="7"/>
      <c r="G30" s="7" t="s">
        <v>57</v>
      </c>
      <c r="H30" s="7"/>
      <c r="I30" s="13">
        <v>3</v>
      </c>
      <c r="J30" s="7"/>
      <c r="K30" s="7"/>
      <c r="L30" s="7"/>
      <c r="M30" s="7"/>
      <c r="N30" s="7"/>
      <c r="O30" s="7"/>
      <c r="P30" s="7"/>
      <c r="Q30" s="7"/>
      <c r="R30" s="7"/>
      <c r="S30" s="7"/>
      <c r="T30" s="7"/>
      <c r="U30" s="7"/>
      <c r="V30" s="7"/>
      <c r="W30" s="7"/>
      <c r="X30" s="7"/>
      <c r="Y30" s="7"/>
      <c r="Z30" s="7"/>
    </row>
    <row r="31" spans="1:26" ht="15.75" customHeight="1" thickBot="1" x14ac:dyDescent="0.25">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5.75" customHeight="1" thickBot="1" x14ac:dyDescent="0.25">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5.75" customHeight="1" thickBot="1" x14ac:dyDescent="0.25">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5.75" customHeight="1" thickBot="1"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5.75" customHeight="1" thickBot="1"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5.75" customHeight="1" thickBot="1"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5.75" customHeight="1" thickBot="1"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5.75" customHeight="1" thickBot="1"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5.75" customHeight="1" thickBot="1"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5.75" customHeight="1" thickBot="1"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5.75" customHeight="1" thickBot="1"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5.75" customHeight="1" thickBot="1"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5.75" customHeight="1" thickBot="1"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5.75" customHeight="1" thickBot="1"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5.75" customHeight="1" thickBot="1"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5.75" customHeight="1" thickBot="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5.75" customHeight="1" thickBot="1"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5.75" customHeight="1" thickBot="1"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5.75" customHeight="1" thickBot="1"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5.75" customHeight="1" thickBot="1"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5.75" customHeight="1" thickBot="1"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5.75" customHeight="1" thickBot="1"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5.75" customHeight="1" thickBot="1"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5.75" customHeight="1" thickBot="1"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5.75" customHeight="1" thickBot="1"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5.75" customHeight="1" thickBot="1"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5.75" customHeight="1" thickBot="1"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5.75" customHeight="1" thickBot="1"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5.75" customHeight="1" thickBot="1"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5.75" customHeight="1" thickBot="1"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5.75" customHeight="1" thickBot="1"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5.75" customHeight="1" thickBot="1"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5.75" customHeight="1" thickBot="1"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5.75" customHeight="1" thickBot="1"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5.75" customHeight="1" thickBot="1"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5.75" customHeight="1" thickBot="1"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5.75" customHeight="1" thickBot="1"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5.75" customHeight="1" thickBot="1"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5.75" customHeight="1" thickBot="1"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5.75" customHeight="1" thickBot="1"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5.75" customHeight="1" thickBot="1"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5.75" customHeight="1" thickBot="1"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5.75" customHeight="1" thickBot="1"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5.75" customHeight="1" thickBot="1"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5.75" customHeight="1" thickBot="1"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5.75" customHeight="1" thickBot="1"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5.75" customHeight="1" thickBot="1"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5.75" customHeight="1" thickBot="1"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5.75" customHeight="1" thickBot="1"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5.75" customHeight="1" thickBot="1"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5.75" customHeight="1" thickBot="1"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5.75" customHeight="1" thickBot="1"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5.75" customHeight="1" thickBot="1"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5.75" customHeight="1" thickBot="1"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5.75" customHeight="1" thickBot="1"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5.75" customHeight="1" thickBot="1"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5.75" customHeight="1" thickBot="1"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5.75" customHeight="1" thickBot="1"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5.75" customHeight="1" thickBot="1"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5.75" customHeight="1" thickBot="1"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5.75" customHeight="1" thickBot="1"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5.75" customHeight="1" thickBot="1"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5.75" customHeight="1" thickBot="1"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5.75" customHeight="1" thickBot="1"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5.75" customHeight="1" thickBot="1"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5.75" customHeight="1" thickBot="1"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5.75" customHeight="1" thickBot="1"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5.75" customHeight="1" thickBot="1"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5.75" customHeight="1" thickBot="1"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5.75" customHeight="1" thickBot="1"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5.75" customHeight="1" thickBot="1"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5.75" customHeight="1" thickBot="1"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5.75" customHeight="1" thickBot="1"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5.75" customHeight="1" thickBot="1"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5.75" customHeight="1" thickBot="1"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5.75" customHeight="1" thickBot="1"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5.75" customHeight="1" thickBot="1"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5.75" customHeight="1" thickBot="1"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5.75" customHeight="1" thickBot="1"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5.75" customHeight="1" thickBot="1"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5.75" customHeight="1" thickBot="1"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5.75" customHeight="1" thickBot="1"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5.75" customHeight="1" thickBot="1"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5.75" customHeight="1" thickBot="1"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5.75" customHeight="1" thickBot="1"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5.75" customHeight="1" thickBot="1"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5.75" customHeight="1" thickBot="1"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5.75" customHeight="1" thickBot="1"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5.75" customHeight="1" thickBot="1"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5.75" customHeight="1" thickBot="1"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5.75" customHeight="1" thickBot="1"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5.75" customHeight="1" thickBot="1"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5.75" customHeight="1" thickBot="1"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5.75" customHeight="1" thickBot="1"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5.75" customHeight="1" thickBot="1"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5.75" customHeight="1" thickBot="1"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5.75" customHeight="1" thickBot="1"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5.75" customHeight="1" thickBot="1"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5.75" customHeight="1" thickBot="1"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5.75" customHeight="1" thickBot="1"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5.75" customHeight="1" thickBot="1"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5.75" customHeight="1" thickBot="1"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5.75" customHeight="1" thickBot="1"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5.75" customHeight="1" thickBot="1"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5.75" customHeight="1" thickBot="1"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5.75" customHeight="1" thickBot="1"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5.75" customHeight="1" thickBot="1"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5.75" customHeight="1" thickBot="1"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5.75" customHeight="1" thickBot="1"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5.75" customHeight="1" thickBot="1"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5.75" customHeight="1" thickBot="1"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5.75" customHeight="1" thickBot="1"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5.75" customHeight="1" thickBot="1"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5.75" customHeight="1" thickBot="1"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5.75" customHeight="1" thickBot="1"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5.75" customHeight="1" thickBot="1"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5.75" customHeight="1" thickBot="1"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5.75" customHeight="1" thickBot="1"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5.75" customHeight="1" thickBot="1"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5.75" customHeight="1" thickBot="1"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5.75" customHeight="1" thickBot="1"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5.75" customHeight="1" thickBot="1"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5.75" customHeight="1" thickBot="1"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5.75" customHeight="1" thickBot="1"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5.75" customHeight="1" thickBot="1"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5.75" customHeight="1" thickBot="1"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5.75" customHeight="1" thickBot="1"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5.75" customHeight="1" thickBot="1"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5.75" customHeight="1" thickBot="1"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5.75" customHeight="1" thickBot="1"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5.75" customHeight="1" thickBot="1"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5.75" customHeight="1" thickBot="1"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5.75" customHeight="1" thickBot="1"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5.75" customHeight="1" thickBot="1"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5.75" customHeight="1" thickBot="1"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5.75" customHeight="1" thickBot="1"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5.75" customHeight="1" thickBot="1"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5.75" customHeight="1" thickBot="1"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5.75" customHeight="1" thickBot="1"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5.75" customHeight="1" thickBot="1"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5.75" customHeight="1" thickBot="1"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5.75" customHeight="1" thickBot="1"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5.75" customHeight="1" thickBot="1"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5.75" customHeight="1" thickBot="1"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5.75" customHeight="1" thickBot="1"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5.75" customHeight="1" thickBot="1"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5.75" customHeight="1" thickBot="1"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5.75" customHeight="1" thickBot="1"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5.75" customHeight="1" thickBot="1"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5.75" customHeight="1" thickBot="1"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5.75" customHeight="1" thickBot="1"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5.75" customHeight="1" thickBot="1"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5.75" customHeight="1" thickBot="1"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5.75" customHeight="1" thickBot="1"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5.75" customHeight="1" thickBot="1"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5.75" customHeight="1" thickBot="1"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5.75" customHeight="1" thickBot="1"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5.75" customHeight="1" thickBot="1"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5.75" customHeight="1" thickBot="1"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5.75" customHeight="1" thickBot="1"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5.75" customHeight="1" thickBot="1"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5.75" customHeight="1" thickBot="1"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5.75" customHeight="1" thickBot="1"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5.75" customHeight="1" thickBot="1"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5.75" customHeight="1" thickBot="1"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5.75" customHeight="1" thickBot="1"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5.75" customHeight="1" thickBot="1"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5.75" customHeight="1" thickBot="1"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5.75" customHeight="1" thickBot="1"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5.75" customHeight="1" thickBot="1"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5.75" customHeight="1" thickBot="1"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5.75" customHeight="1" thickBot="1"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5.75" customHeight="1" thickBot="1"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5.75" customHeight="1" thickBot="1"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5.75" customHeight="1" thickBot="1"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5.75" customHeight="1" thickBot="1"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5.75" customHeight="1" thickBot="1"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5.75" customHeight="1" thickBot="1"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5.75" customHeight="1" thickBot="1"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5.75" customHeight="1" thickBot="1"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5.75" customHeight="1" thickBot="1"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5.75" customHeight="1" thickBot="1"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5.75" customHeight="1" thickBot="1"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5.75" customHeight="1" thickBot="1"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5.75" customHeight="1" thickBot="1"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5.75" customHeight="1" thickBot="1"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5.75" customHeight="1" thickBot="1"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5.75" customHeight="1" thickBot="1"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5.75" customHeight="1" thickBot="1"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5.75" customHeight="1" thickBot="1"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5.75" customHeight="1" thickBot="1"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5.75" customHeight="1" thickBot="1"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5.75" customHeight="1" thickBot="1"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5.75" customHeight="1" thickBot="1"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5.75" customHeight="1" thickBot="1"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5.75" customHeight="1" thickBot="1"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5.75" customHeight="1" thickBot="1"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5.75" customHeight="1" thickBot="1"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5.75" customHeight="1" thickBot="1"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5.75" customHeight="1" thickBot="1"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5.75" customHeight="1" thickBot="1"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5.75" customHeight="1" thickBot="1"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5.75" customHeight="1" thickBot="1"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5.75" customHeight="1" thickBot="1"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5.75" customHeight="1" thickBot="1"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5.75" customHeight="1" thickBot="1"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5.75" customHeight="1" thickBot="1"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5.75" customHeight="1" thickBot="1"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5.75" customHeight="1" thickBot="1"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5.75" customHeight="1" thickBot="1"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5.75" customHeight="1" thickBot="1"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5.75" customHeight="1" thickBot="1"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5.75" customHeight="1" thickBot="1"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5.75" customHeight="1" thickBot="1"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5.75" customHeight="1" thickBot="1"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5.75" customHeight="1" thickBot="1"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5.75" customHeight="1" thickBot="1"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5.75" customHeight="1" thickBot="1"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5.75" customHeight="1" thickBot="1"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5.75" customHeight="1" thickBot="1"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5.75" customHeight="1" thickBot="1"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5.75" customHeight="1" thickBot="1"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5.75" customHeight="1" thickBot="1"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5.75" customHeight="1" thickBot="1"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5.75" customHeight="1" thickBot="1"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5.75" customHeight="1" thickBot="1"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5.75" customHeight="1" thickBot="1"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5.75" customHeight="1" thickBot="1"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5.75" customHeight="1" thickBot="1"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5.75" customHeight="1" thickBot="1"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5.75" customHeight="1" thickBot="1"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5.75" customHeight="1" thickBot="1"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5.75" customHeight="1" thickBot="1"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5.75" customHeight="1" thickBot="1"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5.75" customHeight="1" thickBot="1"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5.75" customHeight="1" thickBot="1"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5.75" customHeight="1" thickBot="1"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5.75" customHeight="1" thickBot="1"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5.75" customHeight="1" thickBot="1"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5.75" customHeight="1" thickBot="1"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5.75" customHeight="1" thickBot="1"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5.75" customHeight="1" thickBot="1"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5.75" customHeight="1" thickBot="1"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5.75" customHeight="1" thickBot="1"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5.75" customHeight="1" thickBot="1"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5.75" customHeight="1" thickBot="1"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5.75" customHeight="1" thickBot="1"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5.75" customHeight="1" thickBot="1"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5.75" customHeight="1" thickBot="1"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5.75" customHeight="1" thickBot="1"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5.75" customHeight="1" thickBot="1"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5.75" customHeight="1" thickBot="1"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5.75" customHeight="1" thickBot="1"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5.75" customHeight="1" thickBot="1"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5.75" customHeight="1" thickBot="1"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5.75" customHeight="1" thickBot="1"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5.75" customHeight="1" thickBot="1"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5.75" customHeight="1" thickBot="1"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5.75" customHeight="1" thickBot="1"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5.75" customHeight="1" thickBot="1"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5.75" customHeight="1" thickBot="1"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5.75" customHeight="1" thickBot="1"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5.75" customHeight="1" thickBot="1"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5.75" customHeight="1" thickBot="1"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5.75" customHeight="1" thickBot="1"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5.75" customHeight="1" thickBot="1"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5.75" customHeight="1" thickBot="1"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5.75" customHeight="1" thickBot="1"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5.75" customHeight="1" thickBot="1"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5.75" customHeight="1" thickBot="1"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5.75" customHeight="1" thickBot="1"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5.75" customHeight="1" thickBot="1"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5.75" customHeight="1" thickBot="1"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5.75" customHeight="1" thickBot="1"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5.75" customHeight="1" thickBot="1"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5.75" customHeight="1" thickBot="1"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5.75" customHeight="1" thickBot="1"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5.75" customHeight="1" thickBot="1"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5.75" customHeight="1" thickBot="1"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5.75" customHeight="1" thickBot="1"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5.75" customHeight="1" thickBot="1"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5.75" customHeight="1" thickBot="1"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5.75" customHeight="1" thickBot="1"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5.75" customHeight="1" thickBot="1"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5.75" customHeight="1" thickBot="1"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5.75" customHeight="1" thickBot="1"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5.75" customHeight="1" thickBot="1"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5.75" customHeight="1" thickBot="1"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5.75" customHeight="1" thickBot="1"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5.75" customHeight="1" thickBot="1"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5.75" customHeight="1" thickBot="1"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5.75" customHeight="1" thickBot="1"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5.75" customHeight="1" thickBot="1"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5.75" customHeight="1" thickBot="1"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5.75" customHeight="1" thickBot="1"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5.75" customHeight="1" thickBot="1"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5.75" customHeight="1" thickBot="1"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5.75" customHeight="1" thickBot="1"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5.75" customHeight="1" thickBot="1"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5.75" customHeight="1" thickBot="1"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5.75" customHeight="1" thickBot="1"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5.75" customHeight="1" thickBot="1"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5.75" customHeight="1" thickBot="1"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5.75" customHeight="1" thickBot="1"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5.75" customHeight="1" thickBot="1"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5.75" customHeight="1" thickBot="1"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5.75" customHeight="1" thickBot="1"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5.75" customHeight="1" thickBot="1"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5.75" customHeight="1" thickBot="1"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5.75" customHeight="1" thickBot="1"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5.75" customHeight="1" thickBot="1"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5.75" customHeight="1" thickBot="1"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5.75" customHeight="1" thickBot="1"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5.75" customHeight="1" thickBot="1"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5.75" customHeight="1" thickBot="1"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5.75" customHeight="1" thickBot="1"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5.75" customHeight="1" thickBot="1"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5.75" customHeight="1" thickBot="1"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5.75" customHeight="1" thickBot="1"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5.75" customHeight="1" thickBot="1"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5.75" customHeight="1" thickBot="1"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5.75" customHeight="1" thickBot="1"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5.75" customHeight="1" thickBot="1"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5.75" customHeight="1" thickBot="1"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5.75" customHeight="1" thickBot="1"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5.75" customHeight="1" thickBot="1"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5.75" customHeight="1" thickBot="1"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5.75" customHeight="1" thickBot="1"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5.75" customHeight="1" thickBot="1"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5.75" customHeight="1" thickBot="1"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5.75" customHeight="1" thickBot="1"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5.75" customHeight="1" thickBot="1"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5.75" customHeight="1" thickBot="1"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5.75" customHeight="1" thickBot="1"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5.75" customHeight="1" thickBot="1"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5.75" customHeight="1" thickBot="1"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5.75" customHeight="1" thickBot="1"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5.75" customHeight="1" thickBot="1"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5.75" customHeight="1" thickBot="1"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5.75" customHeight="1" thickBot="1"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5.75" customHeight="1" thickBot="1"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5.75" customHeight="1" thickBot="1"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5.75" customHeight="1" thickBot="1"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5.75" customHeight="1" thickBot="1"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5.75" customHeight="1" thickBot="1"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5.75" customHeight="1" thickBot="1"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5.75" customHeight="1" thickBot="1"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5.75" customHeight="1" thickBot="1"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5.75" customHeight="1" thickBot="1"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5.75" customHeight="1" thickBot="1"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5.75" customHeight="1" thickBot="1"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5.75" customHeight="1" thickBot="1"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5.75" customHeight="1" thickBot="1"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5.75" customHeight="1" thickBot="1"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5.75" customHeight="1" thickBot="1"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5.75" customHeight="1" thickBot="1"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5.75" customHeight="1" thickBot="1"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5.75" customHeight="1" thickBot="1"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5.75" customHeight="1" thickBot="1"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5.75" customHeight="1" thickBot="1"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5.75" customHeight="1" thickBot="1"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5.75" customHeight="1" thickBot="1"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5.75" customHeight="1" thickBot="1"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5.75" customHeight="1" thickBot="1"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5.75" customHeight="1" thickBot="1"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5.75" customHeight="1" thickBot="1"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5.75" customHeight="1" thickBot="1"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5.75" customHeight="1" thickBot="1"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5.75" customHeight="1" thickBot="1"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5.75" customHeight="1" thickBot="1"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5.75" customHeight="1" thickBot="1"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5.75" customHeight="1" thickBot="1"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5.75" customHeight="1" thickBot="1"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5.75" customHeight="1" thickBot="1"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5.75" customHeight="1" thickBot="1"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5.75" customHeight="1" thickBot="1"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5.75" customHeight="1" thickBot="1"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5.75" customHeight="1" thickBot="1"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5.75" customHeight="1" thickBot="1"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5.75" customHeight="1" thickBot="1"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5.75" customHeight="1" thickBot="1"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5.75" customHeight="1" thickBot="1"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5.75" customHeight="1" thickBot="1"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5.75" customHeight="1" thickBot="1"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5.75" customHeight="1" thickBot="1"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5.75" customHeight="1" thickBot="1"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5.75" customHeight="1" thickBot="1"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5.75" customHeight="1" thickBot="1"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5.75" customHeight="1" thickBot="1"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5.75" customHeight="1" thickBot="1"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5.75" customHeight="1" thickBot="1"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5.75" customHeight="1" thickBot="1"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5.75" customHeight="1" thickBot="1"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5.75" customHeight="1" thickBot="1"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5.75" customHeight="1" thickBot="1"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5.75" customHeight="1" thickBot="1"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5.75" customHeight="1" thickBot="1"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5.75" customHeight="1" thickBot="1"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5.75" customHeight="1" thickBot="1"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5.75" customHeight="1" thickBot="1"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5.75" customHeight="1" thickBot="1"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5.75" customHeight="1" thickBot="1"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5.75" customHeight="1" thickBot="1"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5.75" customHeight="1" thickBot="1"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5.75" customHeight="1" thickBot="1"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5.75" customHeight="1" thickBot="1"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5.75" customHeight="1" thickBot="1"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5.75" customHeight="1" thickBot="1"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5.75" customHeight="1" thickBot="1"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5.75" customHeight="1" thickBot="1"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5.75" customHeight="1" thickBot="1"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5.75" customHeight="1" thickBot="1"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5.75" customHeight="1" thickBot="1"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5.75" customHeight="1" thickBot="1"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5.75" customHeight="1" thickBot="1"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5.75" customHeight="1" thickBot="1"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5.75" customHeight="1" thickBot="1"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5.75" customHeight="1" thickBot="1"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5.75" customHeight="1" thickBot="1"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5.75" customHeight="1" thickBot="1"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5.75" customHeight="1" thickBot="1"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5.75" customHeight="1" thickBot="1"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5.75" customHeight="1" thickBot="1"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5.75" customHeight="1" thickBot="1"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5.75" customHeight="1" thickBot="1"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5.75" customHeight="1" thickBot="1"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5.75" customHeight="1" thickBot="1"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5.75" customHeight="1" thickBot="1"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5.75" customHeight="1" thickBot="1"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5.75" customHeight="1" thickBot="1"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5.75" customHeight="1" thickBot="1"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5.75" customHeight="1" thickBot="1"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5.75" customHeight="1" thickBot="1"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5.75" customHeight="1" thickBot="1"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5.75" customHeight="1" thickBot="1"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5.75" customHeight="1" thickBot="1"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5.75" customHeight="1" thickBot="1"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5.75" customHeight="1" thickBot="1"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5.75" customHeight="1" thickBot="1"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5.75" customHeight="1" thickBot="1"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5.75" customHeight="1" thickBot="1"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5.75" customHeight="1" thickBot="1"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5.75" customHeight="1" thickBot="1"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5.75" customHeight="1" thickBot="1"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5.75" customHeight="1" thickBot="1"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5.75" customHeight="1" thickBot="1"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5.75" customHeight="1" thickBot="1"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5.75" customHeight="1" thickBot="1"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5.75" customHeight="1" thickBot="1"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5.75" customHeight="1" thickBot="1"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5.75" customHeight="1" thickBot="1"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5.75" customHeight="1" thickBot="1"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5.75" customHeight="1" thickBot="1"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5.75" customHeight="1" thickBot="1"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5.75" customHeight="1" thickBot="1"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5.75" customHeight="1" thickBot="1"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5.75" customHeight="1" thickBot="1"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5.75" customHeight="1" thickBot="1"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5.75" customHeight="1" thickBot="1"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5.75" customHeight="1" thickBot="1"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5.75" customHeight="1" thickBot="1"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5.75" customHeight="1" thickBot="1"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5.75" customHeight="1" thickBot="1"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5.75" customHeight="1" thickBot="1"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5.75" customHeight="1" thickBot="1"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5.75" customHeight="1" thickBot="1"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5.75" customHeight="1" thickBot="1"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5.75" customHeight="1" thickBot="1"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5.75" customHeight="1" thickBot="1"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5.75" customHeight="1" thickBot="1"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5.75" customHeight="1" thickBot="1"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5.75" customHeight="1" thickBot="1"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5.75" customHeight="1" thickBot="1"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5.75" customHeight="1" thickBot="1"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5.75" customHeight="1" thickBot="1"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5.75" customHeight="1" thickBot="1"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5.75" customHeight="1" thickBot="1"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5.75" customHeight="1" thickBot="1"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5.75" customHeight="1" thickBot="1"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5.75" customHeight="1" thickBot="1"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5.75" customHeight="1" thickBot="1"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5.75" customHeight="1" thickBot="1"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5.75" customHeight="1" thickBot="1"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5.75" customHeight="1" thickBot="1"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5.75" customHeight="1" thickBot="1"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5.75" customHeight="1" thickBot="1"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5.75" customHeight="1" thickBot="1"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5.75" customHeight="1" thickBot="1"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5.75" customHeight="1" thickBot="1"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5.75" customHeight="1" thickBot="1"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5.75" customHeight="1" thickBot="1"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5.75" customHeight="1" thickBot="1"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5.75" customHeight="1" thickBot="1"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5.75" customHeight="1" thickBot="1"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5.75" customHeight="1" thickBot="1"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5.75" customHeight="1" thickBot="1"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5.75" customHeight="1" thickBot="1"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5.75" customHeight="1" thickBot="1"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5.75" customHeight="1" thickBot="1"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5.75" customHeight="1" thickBot="1"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5.75" customHeight="1" thickBot="1"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5.75" customHeight="1" thickBot="1"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5.75" customHeight="1" thickBot="1"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5.75" customHeight="1" thickBot="1"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5.75" customHeight="1" thickBot="1"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5.75" customHeight="1" thickBot="1"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5.75" customHeight="1" thickBot="1"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5.75" customHeight="1" thickBot="1"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5.75" customHeight="1" thickBot="1"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5.75" customHeight="1" thickBot="1"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5.75" customHeight="1" thickBot="1"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5.75" customHeight="1" thickBot="1"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5.75" customHeight="1" thickBot="1"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5.75" customHeight="1" thickBot="1"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5.75" customHeight="1" thickBot="1"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5.75" customHeight="1" thickBot="1"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5.75" customHeight="1" thickBot="1"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5.75" customHeight="1" thickBot="1"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5.75" customHeight="1" thickBot="1"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5.75" customHeight="1" thickBot="1"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5.75" customHeight="1" thickBot="1"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5.75" customHeight="1" thickBot="1"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5.75" customHeight="1" thickBot="1"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5.75" customHeight="1" thickBot="1"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5.75" customHeight="1" thickBot="1"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5.75" customHeight="1" thickBot="1"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5.75" customHeight="1" thickBot="1"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5.75" customHeight="1" thickBot="1"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5.75" customHeight="1" thickBot="1"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5.75" customHeight="1" thickBot="1"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5.75" customHeight="1" thickBot="1"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5.75" customHeight="1" thickBot="1"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5.75" customHeight="1" thickBot="1"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5.75" customHeight="1" thickBot="1"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5.75" customHeight="1" thickBot="1"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5.75" customHeight="1" thickBot="1"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5.75" customHeight="1" thickBot="1"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5.75" customHeight="1" thickBot="1"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5.75" customHeight="1" thickBot="1"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5.75" customHeight="1" thickBot="1"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5.75" customHeight="1" thickBot="1"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5.75" customHeight="1" thickBot="1"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5.75" customHeight="1" thickBot="1"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5.75" customHeight="1" thickBot="1"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5.75" customHeight="1" thickBot="1"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5.75" customHeight="1" thickBot="1"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5.75" customHeight="1" thickBot="1"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5.75" customHeight="1" thickBot="1"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5.75" customHeight="1" thickBot="1"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5.75" customHeight="1" thickBot="1"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5.75" customHeight="1" thickBot="1"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5.75" customHeight="1" thickBot="1"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5.75" customHeight="1" thickBot="1"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5.75" customHeight="1" thickBot="1"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5.75" customHeight="1" thickBot="1"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5.75" customHeight="1" thickBot="1"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5.75" customHeight="1" thickBot="1"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5.75" customHeight="1" thickBot="1"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5.75" customHeight="1" thickBot="1"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5.75" customHeight="1" thickBot="1"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5.75" customHeight="1" thickBot="1"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5.75" customHeight="1" thickBot="1"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5.75" customHeight="1" thickBot="1"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5.75" customHeight="1" thickBot="1"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5.75" customHeight="1" thickBot="1"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5.75" customHeight="1" thickBot="1"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5.75" customHeight="1" thickBot="1"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5.75" customHeight="1" thickBot="1"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5.75" customHeight="1" thickBot="1"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5.75" customHeight="1" thickBot="1"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5.75" customHeight="1" thickBot="1"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5.75" customHeight="1" thickBot="1"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5.75" customHeight="1" thickBot="1"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5.75" customHeight="1" thickBot="1"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5.75" customHeight="1" thickBot="1"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5.75" customHeight="1" thickBot="1"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5.75" customHeight="1" thickBot="1"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5.75" customHeight="1" thickBot="1"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5.75" customHeight="1" thickBot="1"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5.75" customHeight="1" thickBot="1"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5.75" customHeight="1" thickBot="1"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5.75" customHeight="1" thickBot="1"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5.75" customHeight="1" thickBot="1"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5.75" customHeight="1" thickBot="1"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5.75" customHeight="1" thickBot="1"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5.75" customHeight="1" thickBot="1"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5.75" customHeight="1" thickBot="1"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5.75" customHeight="1" thickBot="1"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5.75" customHeight="1" thickBot="1"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5.75" customHeight="1" thickBot="1"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5.75" customHeight="1" thickBot="1"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5.75" customHeight="1" thickBot="1"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5.75" customHeight="1" thickBot="1"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5.75" customHeight="1" thickBot="1"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5.75" customHeight="1" thickBot="1"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5.75" customHeight="1" thickBot="1"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5.75" customHeight="1" thickBot="1"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5.75" customHeight="1" thickBot="1"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5.75" customHeight="1" thickBot="1"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5.75" customHeight="1" thickBot="1"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5.75" customHeight="1" thickBot="1"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5.75" customHeight="1" thickBot="1"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5.75" customHeight="1" thickBot="1"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5.75" customHeight="1" thickBot="1"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5.75" customHeight="1" thickBot="1"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5.75" customHeight="1" thickBot="1"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5.75" customHeight="1" thickBot="1"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5.75" customHeight="1" thickBot="1"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5.75" customHeight="1" thickBot="1"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5.75" customHeight="1" thickBot="1"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5.75" customHeight="1" thickBot="1"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5.75" customHeight="1" thickBot="1"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5.75" customHeight="1" thickBot="1"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5.75" customHeight="1" thickBot="1"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5.75" customHeight="1" thickBot="1"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5.75" customHeight="1" thickBot="1"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5.75" customHeight="1" thickBot="1"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5.75" customHeight="1" thickBot="1"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5.75" customHeight="1" thickBot="1"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5.75" customHeight="1" thickBot="1"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5.75" customHeight="1" thickBot="1"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5.75" customHeight="1" thickBot="1"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5.75" customHeight="1" thickBot="1"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5.75" customHeight="1" thickBot="1"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5.75" customHeight="1" thickBot="1"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5.75" customHeight="1" thickBot="1"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5.75" customHeight="1" thickBot="1"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5.75" customHeight="1" thickBot="1"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5.75" customHeight="1" thickBot="1"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5.75" customHeight="1" thickBot="1"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5.75" customHeight="1" thickBot="1"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5.75" customHeight="1" thickBot="1"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5.75" customHeight="1" thickBot="1"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5.75" customHeight="1" thickBot="1"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5.75" customHeight="1" thickBot="1"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5.75" customHeight="1" thickBot="1"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5.75" customHeight="1" thickBot="1"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5.75" customHeight="1" thickBot="1"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5.75" customHeight="1" thickBot="1"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5.75" customHeight="1" thickBot="1"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5.75" customHeight="1" thickBot="1"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5.75" customHeight="1" thickBot="1"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5.75" customHeight="1" thickBot="1"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5.75" customHeight="1" thickBot="1"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5.75" customHeight="1" thickBot="1"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5.75" customHeight="1" thickBot="1"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5.75" customHeight="1" thickBot="1"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5.75" customHeight="1" thickBot="1"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5.75" customHeight="1" thickBot="1"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5.75" customHeight="1" thickBot="1"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5.75" customHeight="1" thickBot="1"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5.75" customHeight="1" thickBot="1"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5.75" customHeight="1" thickBot="1"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5.75" customHeight="1" thickBot="1"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5.75" customHeight="1" thickBot="1"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5.75" customHeight="1" thickBot="1"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5.75" customHeight="1" thickBot="1"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5.75" customHeight="1" thickBot="1"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5.75" customHeight="1" thickBot="1"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5.75" customHeight="1" thickBot="1"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5.75" customHeight="1" thickBot="1"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5.75" customHeight="1" thickBot="1"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5.75" customHeight="1" thickBot="1"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5.75" customHeight="1" thickBot="1"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5.75" customHeight="1" thickBot="1"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5.75" customHeight="1" thickBot="1"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5.75" customHeight="1" thickBot="1"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5.75" customHeight="1" thickBot="1"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5.75" customHeight="1" thickBot="1"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5.75" customHeight="1" thickBot="1"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5.75" customHeight="1" thickBot="1"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5.75" customHeight="1" thickBot="1"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5.75" customHeight="1" thickBot="1"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5.75" customHeight="1" thickBot="1"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5.75" customHeight="1" thickBot="1"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5.75" customHeight="1" thickBot="1"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5.75" customHeight="1" thickBot="1"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5.75" customHeight="1" thickBot="1"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5.75" customHeight="1" thickBot="1"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5.75" customHeight="1" thickBot="1"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5.75" customHeight="1" thickBot="1"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5.75" customHeight="1" thickBot="1"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5.75" customHeight="1" thickBot="1"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5.75" customHeight="1" thickBot="1"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5.75" customHeight="1" thickBot="1"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5.75" customHeight="1" thickBot="1"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5.75" customHeight="1" thickBot="1"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5.75" customHeight="1" thickBot="1"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5.75" customHeight="1" thickBot="1"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5.75" customHeight="1" thickBot="1"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5.75" customHeight="1" thickBot="1"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5.75" customHeight="1" thickBot="1"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5.75" customHeight="1" thickBot="1"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5.75" customHeight="1" thickBot="1"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5.75" customHeight="1" thickBot="1"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5.75" customHeight="1" thickBot="1"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5.75" customHeight="1" thickBot="1"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5.75" customHeight="1" thickBot="1"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5.75" customHeight="1" thickBot="1"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5.75" customHeight="1" thickBot="1"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5.75" customHeight="1" thickBot="1"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5.75" customHeight="1" thickBot="1"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5.75" customHeight="1" thickBot="1"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5.75" customHeight="1" thickBot="1"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5.75" customHeight="1" thickBot="1"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5.75" customHeight="1" thickBot="1"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5.75" customHeight="1" thickBot="1"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5.75" customHeight="1" thickBot="1"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5.75" customHeight="1" thickBot="1"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5.75" customHeight="1" thickBot="1"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5.75" customHeight="1" thickBot="1"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5.75" customHeight="1" thickBot="1"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5.75" customHeight="1" thickBot="1"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5.75" customHeight="1" thickBot="1"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5.75" customHeight="1" thickBot="1"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5.75" customHeight="1" thickBot="1"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5.75" customHeight="1" thickBot="1"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5.75" customHeight="1" thickBot="1"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5.75" customHeight="1" thickBot="1"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5.75" customHeight="1" thickBot="1"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5.75" customHeight="1" thickBot="1"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5.75" customHeight="1" thickBot="1"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5.75" customHeight="1" thickBot="1"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5.75" customHeight="1" thickBot="1"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5.75" customHeight="1" thickBot="1"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5.75" customHeight="1" thickBot="1"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5.75" customHeight="1" thickBot="1"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5.75" customHeight="1" thickBot="1"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5.75" customHeight="1" thickBot="1"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5.75" customHeight="1" thickBot="1"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5.75" customHeight="1" thickBot="1"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5.75" customHeight="1" thickBot="1"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5.75" customHeight="1" thickBot="1"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5.75" customHeight="1" thickBot="1"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5.75" customHeight="1" thickBot="1"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5.75" customHeight="1" thickBot="1"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5.75" customHeight="1" thickBot="1"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5.75" customHeight="1" thickBot="1"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5.75" customHeight="1" thickBot="1"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5.75" customHeight="1" thickBot="1"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5.75" customHeight="1" thickBot="1"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5.75" customHeight="1" thickBot="1"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5.75" customHeight="1" thickBot="1"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5.75" customHeight="1" thickBot="1"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5.75" customHeight="1" thickBot="1"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5.75" customHeight="1" thickBot="1"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5.75" customHeight="1" thickBot="1"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5.75" customHeight="1" thickBot="1"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5.75" customHeight="1" thickBot="1"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5.75" customHeight="1" thickBot="1"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5.75" customHeight="1" thickBot="1"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5.75" customHeight="1" thickBot="1"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5.75" customHeight="1" thickBot="1"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5.75" customHeight="1" thickBot="1"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5.75" customHeight="1" thickBot="1"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5.75" customHeight="1" thickBot="1"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5.75" customHeight="1" thickBot="1"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5.75" customHeight="1" thickBot="1"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5.75" customHeight="1" thickBot="1"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5.75" customHeight="1" thickBot="1"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5.75" customHeight="1" thickBot="1"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5.75" customHeight="1" thickBot="1"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5.75" customHeight="1" thickBot="1"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5.75" customHeight="1" thickBot="1"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5.75" customHeight="1" thickBot="1"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5.75" customHeight="1" thickBot="1"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5.75" customHeight="1" thickBot="1"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5.75" customHeight="1" thickBot="1"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5.75" customHeight="1" thickBot="1"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5.75" customHeight="1" thickBot="1"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5.75" customHeight="1" thickBot="1"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5.75" customHeight="1" thickBot="1"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5.75" customHeight="1" thickBot="1"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5.75" customHeight="1" thickBot="1"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5.75" customHeight="1" thickBot="1"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5.75" customHeight="1" thickBot="1"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5.75" customHeight="1" thickBot="1"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5.75" customHeight="1" thickBot="1"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5.75" customHeight="1" thickBot="1"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5.75" customHeight="1" thickBot="1"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5.75" customHeight="1" thickBot="1"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5.75" customHeight="1" thickBot="1"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5.75" customHeight="1" thickBot="1"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5.75" customHeight="1" thickBot="1"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5.75" customHeight="1" thickBot="1"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5.75" customHeight="1" thickBot="1"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5.75" customHeight="1" thickBot="1"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5.75" customHeight="1" thickBot="1"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5.75" customHeight="1" thickBot="1"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5.75" customHeight="1" thickBot="1"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5.75" customHeight="1" thickBot="1"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5.75" customHeight="1" thickBot="1"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5.75" customHeight="1" thickBot="1"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5.75" customHeight="1" thickBot="1"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5.75" customHeight="1" thickBot="1"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5.75" customHeight="1" thickBot="1"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5.75" customHeight="1" thickBot="1"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5.75" customHeight="1" thickBot="1"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5.75" customHeight="1" thickBot="1"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5.75" customHeight="1" thickBot="1"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5.75" customHeight="1" thickBot="1"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5.75" customHeight="1" thickBot="1"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5.75" customHeight="1" thickBot="1"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5.75" customHeight="1" thickBot="1"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5.75" customHeight="1" thickBot="1"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5.75" customHeight="1" thickBot="1"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5.75" customHeight="1" thickBot="1"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5.75" customHeight="1" thickBot="1"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5.75" customHeight="1" thickBot="1"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5.75" customHeight="1" thickBot="1"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5.75" customHeight="1" thickBot="1"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5.75" customHeight="1" thickBot="1"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5.75" customHeight="1" thickBot="1"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5.75" customHeight="1" thickBot="1"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5.75" customHeight="1" thickBot="1"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5.75" customHeight="1" thickBot="1"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5.75" customHeight="1" thickBot="1"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5.75" customHeight="1" thickBot="1"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5.75" customHeight="1" thickBot="1"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5.75" customHeight="1" thickBot="1"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5.75" customHeight="1" thickBot="1"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5.75" customHeight="1" thickBot="1"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5.75" customHeight="1" thickBot="1"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5.75" customHeight="1" thickBot="1"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5.75" customHeight="1" thickBot="1"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5.75" customHeight="1" thickBot="1"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5.75" customHeight="1" thickBot="1"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5.75" customHeight="1" thickBot="1"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5.75" customHeight="1" thickBot="1"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5.75" customHeight="1" thickBot="1"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5.75" customHeight="1" thickBot="1"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5.75" customHeight="1" thickBot="1"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5.75" customHeight="1" thickBot="1"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5.75" customHeight="1" thickBot="1"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5.75" customHeight="1" thickBot="1"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5.75" customHeight="1" thickBot="1"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5.75" customHeight="1" thickBot="1"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5.75" customHeight="1" thickBot="1"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5.75" customHeight="1" thickBot="1"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5.75" customHeight="1" thickBot="1"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5.75" customHeight="1" thickBot="1"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5.75" customHeight="1" thickBot="1"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5.75" customHeight="1" thickBot="1"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5.75" customHeight="1" thickBot="1"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5.75" customHeight="1" thickBot="1"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5.75" customHeight="1" thickBot="1"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5.75" customHeight="1" thickBot="1"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5.75" customHeight="1" thickBot="1"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5.75" customHeight="1" thickBot="1"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5.75" customHeight="1" thickBot="1"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5.75" customHeight="1" thickBot="1"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5.75" customHeight="1" thickBot="1"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5.75" customHeight="1" thickBot="1"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5.75" customHeight="1" thickBot="1"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5.75" customHeight="1" thickBot="1"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5.75" customHeight="1" thickBot="1"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5.75" customHeight="1" thickBot="1"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5.75" customHeight="1" thickBot="1"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5.75" customHeight="1" thickBot="1"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5.75" customHeight="1" thickBot="1"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5.75" customHeight="1" thickBot="1"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5.75" customHeight="1" thickBot="1"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5.75" customHeight="1" thickBot="1"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5.75" customHeight="1" thickBot="1"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5.75" customHeight="1" thickBot="1"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5.75" customHeight="1" thickBot="1"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5.75" customHeight="1" thickBot="1"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5.75" customHeight="1" thickBot="1"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5.75" customHeight="1" thickBot="1"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5.75" customHeight="1" thickBot="1"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5.75" customHeight="1" thickBot="1"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5.75" customHeight="1" thickBot="1"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5.75" customHeight="1" thickBot="1"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5.75" customHeight="1" thickBot="1"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5.75" customHeight="1" thickBot="1"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5.75" customHeight="1" thickBot="1"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5.75" customHeight="1" thickBot="1"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5.75" customHeight="1" thickBot="1"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5.75" customHeight="1" thickBot="1"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5.75" customHeight="1" thickBot="1"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5.75" customHeight="1" thickBot="1"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5.75" customHeight="1" thickBot="1"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5.75" customHeight="1" thickBot="1"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5.75" customHeight="1" thickBot="1"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5.75" customHeight="1" thickBot="1"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5.75" customHeight="1" thickBot="1"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5.75" customHeight="1" thickBot="1"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5.75" customHeight="1" thickBot="1"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5.75" customHeight="1" thickBot="1"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5.75" customHeight="1" thickBot="1"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5.75" customHeight="1" thickBot="1"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5.75" customHeight="1" thickBot="1"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5.75" customHeight="1" thickBot="1"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5.75" customHeight="1" thickBot="1"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5.75" customHeight="1" thickBot="1"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5.75" customHeight="1" thickBot="1"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5.75" customHeight="1" thickBot="1"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5.75" customHeight="1" thickBot="1"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5.75" customHeight="1" thickBot="1"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5.75" customHeight="1" thickBot="1"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5.75" customHeight="1" thickBot="1"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5.75" customHeight="1" thickBot="1"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5.75" customHeight="1" thickBot="1"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5.75" customHeight="1" thickBot="1"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5.75" customHeight="1" thickBot="1"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5.75" customHeight="1" thickBot="1"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5.75" customHeight="1" thickBot="1"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5.75" customHeight="1" thickBot="1"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5.75" customHeight="1" thickBot="1"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5.75" customHeight="1" thickBot="1"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5.75" customHeight="1" thickBot="1"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5.75" customHeight="1" thickBot="1"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5.75" customHeight="1" thickBot="1"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5.75" customHeight="1" thickBot="1"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5.75" customHeight="1" thickBot="1"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5.75" customHeight="1" thickBot="1"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5.75" customHeight="1" thickBot="1"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5.75" customHeight="1" thickBot="1"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5.75" customHeight="1" thickBot="1"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5.75" customHeight="1" thickBot="1"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5.75" customHeight="1" thickBot="1"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5.75" customHeight="1" thickBot="1"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5.75" customHeight="1" thickBot="1"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5.75" customHeight="1" thickBot="1"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5.75" customHeight="1" thickBot="1"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5.75" customHeight="1" thickBot="1"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5.75" customHeight="1" thickBot="1"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5.75" customHeight="1" thickBot="1"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5.75" customHeight="1" thickBot="1"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5.75" customHeight="1" thickBot="1"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5.75" customHeight="1" thickBot="1"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5.75" customHeight="1" thickBot="1"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5" customHeight="1" thickBot="1"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5" customHeight="1" thickBot="1"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5" customHeight="1" thickBot="1"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5" customHeight="1" thickBot="1"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5" customHeight="1" thickBot="1"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5" customHeight="1" thickBot="1"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5" customHeight="1" thickBot="1"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5" customHeight="1" thickBot="1"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5" customHeight="1" thickBot="1"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5" customHeight="1" thickBot="1"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5" customHeight="1" thickBot="1"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5" customHeight="1" thickBot="1"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5" customHeight="1" thickBot="1"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5" customHeight="1" thickBot="1"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5" customHeight="1" thickBot="1"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5" customHeight="1" thickBot="1"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5" customHeight="1" thickBot="1"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5" customHeight="1" thickBot="1"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5" customHeight="1" thickBot="1"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5" customHeight="1" thickBot="1"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5" customHeight="1" thickBot="1"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5" customHeight="1" thickBot="1"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5" customHeight="1" thickBot="1"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5" customHeight="1" thickBot="1"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5" customHeight="1" thickBot="1"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5" customHeight="1" thickBot="1"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5" customHeight="1" thickBot="1"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5" customHeight="1" thickBot="1"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5" customHeight="1" thickBot="1" x14ac:dyDescent="0.2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5" customHeight="1" thickBot="1" x14ac:dyDescent="0.2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5" customHeight="1" thickBot="1" x14ac:dyDescent="0.2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5" customHeight="1" thickBot="1" x14ac:dyDescent="0.2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5" customHeight="1" thickBot="1" x14ac:dyDescent="0.2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5" customHeight="1" thickBot="1" x14ac:dyDescent="0.2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5" customHeight="1" thickBot="1" x14ac:dyDescent="0.2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5" customHeight="1" thickBot="1" x14ac:dyDescent="0.2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5" customHeight="1" thickBot="1" x14ac:dyDescent="0.2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5" customHeight="1" thickBot="1" x14ac:dyDescent="0.25">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5" customHeight="1" thickBot="1" x14ac:dyDescent="0.25">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5" customHeight="1" thickBot="1" x14ac:dyDescent="0.25">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5" customHeight="1" thickBot="1" x14ac:dyDescent="0.25">
      <c r="A1003" s="7"/>
      <c r="B1003" s="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row r="1004" spans="1:26" ht="15" customHeight="1" thickBot="1" x14ac:dyDescent="0.25">
      <c r="A1004" s="7"/>
      <c r="B1004" s="7"/>
      <c r="C1004" s="7"/>
      <c r="D1004" s="7"/>
      <c r="E1004" s="7"/>
      <c r="F1004" s="7"/>
      <c r="G1004" s="7"/>
      <c r="H1004" s="7"/>
      <c r="I1004" s="7"/>
      <c r="J1004" s="7"/>
      <c r="K1004" s="7"/>
      <c r="L1004" s="7"/>
      <c r="M1004" s="7"/>
      <c r="N1004" s="7"/>
      <c r="O1004" s="7"/>
      <c r="P1004" s="7"/>
      <c r="Q1004" s="7"/>
      <c r="R1004" s="7"/>
      <c r="S1004" s="7"/>
      <c r="T1004" s="7"/>
      <c r="U1004" s="7"/>
      <c r="V1004" s="7"/>
      <c r="W1004" s="7"/>
      <c r="X1004" s="7"/>
      <c r="Y1004" s="7"/>
      <c r="Z1004" s="7"/>
    </row>
    <row r="1005" spans="1:26" ht="15" customHeight="1" thickBot="1" x14ac:dyDescent="0.25">
      <c r="A1005" s="7"/>
      <c r="B1005" s="7"/>
      <c r="C1005" s="7"/>
      <c r="D1005" s="7"/>
      <c r="E1005" s="7"/>
      <c r="F1005" s="7"/>
      <c r="G1005" s="7"/>
      <c r="H1005" s="7"/>
      <c r="I1005" s="7"/>
      <c r="J1005" s="7"/>
      <c r="K1005" s="7"/>
      <c r="L1005" s="7"/>
      <c r="M1005" s="7"/>
      <c r="N1005" s="7"/>
      <c r="O1005" s="7"/>
      <c r="P1005" s="7"/>
      <c r="Q1005" s="7"/>
      <c r="R1005" s="7"/>
      <c r="S1005" s="7"/>
      <c r="T1005" s="7"/>
      <c r="U1005" s="7"/>
      <c r="V1005" s="7"/>
      <c r="W1005" s="7"/>
      <c r="X1005" s="7"/>
      <c r="Y1005" s="7"/>
      <c r="Z1005" s="7"/>
    </row>
    <row r="1006" spans="1:26" ht="15" customHeight="1" thickBot="1" x14ac:dyDescent="0.25">
      <c r="A1006" s="7"/>
      <c r="B1006" s="7"/>
      <c r="C1006" s="7"/>
      <c r="D1006" s="7"/>
      <c r="E1006" s="7"/>
      <c r="F1006" s="7"/>
      <c r="G1006" s="7"/>
      <c r="H1006" s="7"/>
      <c r="I1006" s="7"/>
      <c r="J1006" s="7"/>
      <c r="K1006" s="7"/>
      <c r="L1006" s="7"/>
      <c r="M1006" s="7"/>
      <c r="N1006" s="7"/>
      <c r="O1006" s="7"/>
      <c r="P1006" s="7"/>
      <c r="Q1006" s="7"/>
      <c r="R1006" s="7"/>
      <c r="S1006" s="7"/>
      <c r="T1006" s="7"/>
      <c r="U1006" s="7"/>
      <c r="V1006" s="7"/>
      <c r="W1006" s="7"/>
      <c r="X1006" s="7"/>
      <c r="Y1006" s="7"/>
      <c r="Z1006" s="7"/>
    </row>
  </sheetData>
  <mergeCells count="11">
    <mergeCell ref="C21:F21"/>
    <mergeCell ref="C22:F22"/>
    <mergeCell ref="C6:F6"/>
    <mergeCell ref="C7:F7"/>
    <mergeCell ref="C8:F8"/>
    <mergeCell ref="C9:F9"/>
    <mergeCell ref="L6:O6"/>
    <mergeCell ref="L7:O7"/>
    <mergeCell ref="L8:O8"/>
    <mergeCell ref="L9:O9"/>
    <mergeCell ref="C20:F20"/>
  </mergeCells>
  <phoneticPr fontId="9" type="noConversion"/>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9B85A-B11A-4D97-AE2D-200A2A121A7F}">
  <dimension ref="B4:I24"/>
  <sheetViews>
    <sheetView zoomScale="81" zoomScaleNormal="81" workbookViewId="0">
      <selection activeCell="I21" sqref="I21:I24"/>
    </sheetView>
  </sheetViews>
  <sheetFormatPr baseColWidth="10" defaultRowHeight="12.75" x14ac:dyDescent="0.2"/>
  <cols>
    <col min="1" max="1" width="11.5703125" customWidth="1"/>
    <col min="2" max="2" width="12.7109375" customWidth="1"/>
    <col min="3" max="3" width="65.7109375" customWidth="1"/>
    <col min="4" max="4" width="18.7109375" customWidth="1"/>
    <col min="5" max="5" width="68.5703125" customWidth="1"/>
    <col min="6" max="6" width="90.42578125" customWidth="1"/>
    <col min="7" max="7" width="27.7109375" customWidth="1"/>
    <col min="8" max="8" width="18" customWidth="1"/>
    <col min="9" max="9" width="14.5703125" customWidth="1"/>
  </cols>
  <sheetData>
    <row r="4" spans="2:9" x14ac:dyDescent="0.2">
      <c r="B4" s="33" t="s">
        <v>10</v>
      </c>
      <c r="C4" s="33" t="s">
        <v>0</v>
      </c>
      <c r="D4" s="33" t="s">
        <v>1</v>
      </c>
      <c r="E4" s="33" t="s">
        <v>11</v>
      </c>
      <c r="F4" s="33" t="s">
        <v>12</v>
      </c>
      <c r="G4" s="33" t="s">
        <v>4</v>
      </c>
      <c r="H4" s="33" t="s">
        <v>13</v>
      </c>
      <c r="I4" s="33" t="s">
        <v>14</v>
      </c>
    </row>
    <row r="5" spans="2:9" ht="15.6" customHeight="1" x14ac:dyDescent="0.2">
      <c r="B5" s="34" t="s">
        <v>82</v>
      </c>
      <c r="C5" s="34" t="s">
        <v>86</v>
      </c>
      <c r="D5" s="34" t="s">
        <v>9</v>
      </c>
      <c r="E5" s="34" t="s">
        <v>87</v>
      </c>
      <c r="F5" s="34" t="s">
        <v>105</v>
      </c>
      <c r="G5" s="34"/>
      <c r="H5" s="34" t="s">
        <v>8</v>
      </c>
      <c r="I5" s="34" t="s">
        <v>120</v>
      </c>
    </row>
    <row r="6" spans="2:9" x14ac:dyDescent="0.2">
      <c r="B6" s="35"/>
      <c r="C6" s="36" t="s">
        <v>15</v>
      </c>
      <c r="D6" s="36"/>
      <c r="E6" s="36"/>
      <c r="F6" s="36"/>
      <c r="G6" s="36" t="s">
        <v>16</v>
      </c>
      <c r="H6" s="36"/>
      <c r="I6" s="36" t="s">
        <v>17</v>
      </c>
    </row>
    <row r="7" spans="2:9" ht="13.15" customHeight="1" x14ac:dyDescent="0.2">
      <c r="B7" s="37" t="s">
        <v>97</v>
      </c>
      <c r="C7" s="54" t="s">
        <v>108</v>
      </c>
      <c r="D7" s="54"/>
      <c r="E7" s="54"/>
      <c r="F7" s="54"/>
      <c r="G7" s="35" t="s">
        <v>45</v>
      </c>
      <c r="H7" s="35"/>
      <c r="I7" s="38">
        <v>5</v>
      </c>
    </row>
    <row r="8" spans="2:9" ht="16.149999999999999" customHeight="1" x14ac:dyDescent="0.2">
      <c r="B8" s="37" t="s">
        <v>98</v>
      </c>
      <c r="C8" s="55" t="s">
        <v>99</v>
      </c>
      <c r="D8" s="55"/>
      <c r="E8" s="55"/>
      <c r="F8" s="55"/>
      <c r="G8" s="35" t="s">
        <v>45</v>
      </c>
      <c r="H8" s="35"/>
      <c r="I8" s="38">
        <v>3</v>
      </c>
    </row>
    <row r="9" spans="2:9" ht="15" customHeight="1" x14ac:dyDescent="0.2">
      <c r="B9" s="37" t="s">
        <v>100</v>
      </c>
      <c r="C9" s="39" t="s">
        <v>106</v>
      </c>
      <c r="D9" s="39"/>
      <c r="E9" s="39"/>
      <c r="F9" s="39"/>
      <c r="G9" s="35" t="s">
        <v>45</v>
      </c>
      <c r="H9" s="35"/>
      <c r="I9" s="38">
        <v>2</v>
      </c>
    </row>
    <row r="10" spans="2:9" ht="14.45" customHeight="1" x14ac:dyDescent="0.2">
      <c r="B10" s="37" t="s">
        <v>101</v>
      </c>
      <c r="C10" s="54" t="s">
        <v>121</v>
      </c>
      <c r="D10" s="54"/>
      <c r="E10" s="54"/>
      <c r="F10" s="54"/>
      <c r="G10" s="35" t="s">
        <v>45</v>
      </c>
      <c r="H10" s="35"/>
      <c r="I10" s="38">
        <v>2</v>
      </c>
    </row>
    <row r="11" spans="2:9" ht="13.9" customHeight="1" x14ac:dyDescent="0.2">
      <c r="B11" s="37"/>
      <c r="C11" s="54"/>
      <c r="D11" s="54"/>
      <c r="E11" s="54"/>
      <c r="F11" s="54"/>
      <c r="G11" s="35"/>
      <c r="H11" s="35"/>
      <c r="I11" s="35"/>
    </row>
    <row r="12" spans="2:9" ht="15.6" customHeight="1" x14ac:dyDescent="0.2">
      <c r="B12" s="34" t="s">
        <v>83</v>
      </c>
      <c r="C12" s="34" t="s">
        <v>90</v>
      </c>
      <c r="D12" s="34" t="s">
        <v>9</v>
      </c>
      <c r="E12" s="34" t="s">
        <v>91</v>
      </c>
      <c r="F12" s="34" t="s">
        <v>107</v>
      </c>
      <c r="G12" s="34" t="s">
        <v>113</v>
      </c>
      <c r="H12" s="34" t="s">
        <v>8</v>
      </c>
      <c r="I12" s="34" t="s">
        <v>120</v>
      </c>
    </row>
    <row r="13" spans="2:9" ht="15" customHeight="1" x14ac:dyDescent="0.2">
      <c r="B13" s="35"/>
      <c r="C13" s="36" t="s">
        <v>15</v>
      </c>
      <c r="D13" s="36"/>
      <c r="E13" s="36"/>
      <c r="F13" s="36"/>
      <c r="G13" s="36" t="s">
        <v>16</v>
      </c>
      <c r="H13" s="36"/>
      <c r="I13" s="36" t="s">
        <v>17</v>
      </c>
    </row>
    <row r="14" spans="2:9" ht="13.9" customHeight="1" x14ac:dyDescent="0.2">
      <c r="B14" s="37" t="s">
        <v>102</v>
      </c>
      <c r="C14" s="54" t="s">
        <v>109</v>
      </c>
      <c r="D14" s="54"/>
      <c r="E14" s="54"/>
      <c r="F14" s="54"/>
      <c r="G14" s="35" t="s">
        <v>49</v>
      </c>
      <c r="H14" s="35"/>
      <c r="I14" s="38">
        <v>5</v>
      </c>
    </row>
    <row r="15" spans="2:9" ht="14.45" customHeight="1" x14ac:dyDescent="0.2">
      <c r="B15" s="37" t="s">
        <v>103</v>
      </c>
      <c r="C15" s="55" t="s">
        <v>111</v>
      </c>
      <c r="D15" s="55"/>
      <c r="E15" s="55"/>
      <c r="F15" s="55"/>
      <c r="G15" s="35" t="s">
        <v>49</v>
      </c>
      <c r="H15" s="35"/>
      <c r="I15" s="38">
        <v>3</v>
      </c>
    </row>
    <row r="16" spans="2:9" ht="13.15" customHeight="1" x14ac:dyDescent="0.2">
      <c r="B16" s="37" t="s">
        <v>104</v>
      </c>
      <c r="C16" s="54" t="s">
        <v>112</v>
      </c>
      <c r="D16" s="54"/>
      <c r="E16" s="54"/>
      <c r="F16" s="54"/>
      <c r="G16" s="35" t="s">
        <v>49</v>
      </c>
      <c r="H16" s="35"/>
      <c r="I16" s="38">
        <v>3</v>
      </c>
    </row>
    <row r="17" spans="2:9" x14ac:dyDescent="0.2">
      <c r="B17" s="37" t="s">
        <v>110</v>
      </c>
      <c r="C17" t="s">
        <v>122</v>
      </c>
      <c r="G17" s="35" t="s">
        <v>49</v>
      </c>
      <c r="I17" s="38">
        <v>3</v>
      </c>
    </row>
    <row r="19" spans="2:9" x14ac:dyDescent="0.2">
      <c r="B19" s="34" t="s">
        <v>84</v>
      </c>
      <c r="C19" s="34" t="s">
        <v>94</v>
      </c>
      <c r="D19" s="34" t="s">
        <v>9</v>
      </c>
      <c r="E19" s="34" t="s">
        <v>95</v>
      </c>
      <c r="F19" s="34" t="s">
        <v>96</v>
      </c>
      <c r="G19" s="34"/>
      <c r="H19" s="34" t="s">
        <v>8</v>
      </c>
      <c r="I19" s="34" t="s">
        <v>120</v>
      </c>
    </row>
    <row r="20" spans="2:9" x14ac:dyDescent="0.2">
      <c r="B20" s="35"/>
      <c r="C20" s="36" t="s">
        <v>15</v>
      </c>
      <c r="D20" s="36"/>
      <c r="E20" s="36"/>
      <c r="F20" s="36"/>
      <c r="G20" s="36" t="s">
        <v>16</v>
      </c>
      <c r="H20" s="36"/>
      <c r="I20" s="36" t="s">
        <v>17</v>
      </c>
    </row>
    <row r="21" spans="2:9" x14ac:dyDescent="0.2">
      <c r="B21" s="37" t="s">
        <v>116</v>
      </c>
      <c r="C21" s="54" t="s">
        <v>114</v>
      </c>
      <c r="D21" s="54"/>
      <c r="E21" s="54"/>
      <c r="F21" s="54"/>
      <c r="G21" s="35" t="s">
        <v>57</v>
      </c>
      <c r="H21" s="35"/>
      <c r="I21" s="38">
        <v>5</v>
      </c>
    </row>
    <row r="22" spans="2:9" x14ac:dyDescent="0.2">
      <c r="B22" s="37" t="s">
        <v>117</v>
      </c>
      <c r="C22" s="55" t="s">
        <v>123</v>
      </c>
      <c r="D22" s="55"/>
      <c r="E22" s="55"/>
      <c r="F22" s="55"/>
      <c r="G22" s="35" t="s">
        <v>57</v>
      </c>
      <c r="H22" s="35"/>
      <c r="I22" s="38">
        <v>4</v>
      </c>
    </row>
    <row r="23" spans="2:9" x14ac:dyDescent="0.2">
      <c r="B23" s="37" t="s">
        <v>118</v>
      </c>
      <c r="C23" s="54" t="s">
        <v>115</v>
      </c>
      <c r="D23" s="54"/>
      <c r="E23" s="54"/>
      <c r="F23" s="54"/>
      <c r="G23" s="35" t="s">
        <v>57</v>
      </c>
      <c r="H23" s="35"/>
      <c r="I23" s="38">
        <v>2</v>
      </c>
    </row>
    <row r="24" spans="2:9" x14ac:dyDescent="0.2">
      <c r="B24" s="37" t="s">
        <v>119</v>
      </c>
      <c r="C24" s="42" t="s">
        <v>124</v>
      </c>
      <c r="G24" s="35" t="s">
        <v>57</v>
      </c>
      <c r="I24" s="38">
        <v>3</v>
      </c>
    </row>
  </sheetData>
  <mergeCells count="10">
    <mergeCell ref="C21:F21"/>
    <mergeCell ref="C22:F22"/>
    <mergeCell ref="C23:F23"/>
    <mergeCell ref="C15:F15"/>
    <mergeCell ref="C16:F16"/>
    <mergeCell ref="C7:F7"/>
    <mergeCell ref="C8:F8"/>
    <mergeCell ref="C10:F10"/>
    <mergeCell ref="C11:F11"/>
    <mergeCell ref="C14:F1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F1DD4-0E0F-43E5-866D-48B4C59ADB24}">
  <dimension ref="A1:Z1020"/>
  <sheetViews>
    <sheetView zoomScale="81" zoomScaleNormal="81" workbookViewId="0">
      <selection activeCell="I20" sqref="I20:I23"/>
    </sheetView>
  </sheetViews>
  <sheetFormatPr baseColWidth="10" defaultColWidth="12.5703125" defaultRowHeight="12.75" x14ac:dyDescent="0.2"/>
  <cols>
    <col min="3" max="3" width="35.140625" customWidth="1"/>
    <col min="4" max="4" width="20.42578125" bestFit="1" customWidth="1"/>
    <col min="5" max="5" width="41.28515625" bestFit="1" customWidth="1"/>
    <col min="6" max="6" width="56.140625" customWidth="1"/>
    <col min="7" max="7" width="29" bestFit="1" customWidth="1"/>
  </cols>
  <sheetData>
    <row r="1" spans="1:26" ht="15.75" customHeight="1" thickBot="1" x14ac:dyDescent="0.25">
      <c r="A1" s="7"/>
      <c r="B1" s="7"/>
      <c r="C1" s="7"/>
      <c r="D1" s="7"/>
      <c r="E1" s="7"/>
      <c r="F1" s="7"/>
      <c r="G1" s="7"/>
      <c r="H1" s="7"/>
      <c r="I1" s="7"/>
      <c r="J1" s="7"/>
      <c r="K1" s="7"/>
      <c r="L1" s="7"/>
      <c r="M1" s="7"/>
      <c r="N1" s="7"/>
      <c r="O1" s="7"/>
      <c r="P1" s="7"/>
      <c r="Q1" s="7"/>
      <c r="R1" s="7"/>
      <c r="S1" s="7"/>
      <c r="T1" s="7"/>
      <c r="U1" s="7"/>
      <c r="V1" s="7"/>
      <c r="W1" s="7"/>
      <c r="X1" s="7"/>
      <c r="Y1" s="7"/>
      <c r="Z1" s="7"/>
    </row>
    <row r="2" spans="1:26" ht="15.75" customHeight="1" thickBot="1" x14ac:dyDescent="0.25">
      <c r="A2" s="7"/>
      <c r="B2" s="7"/>
      <c r="C2" s="7"/>
      <c r="D2" s="7"/>
      <c r="E2" s="7"/>
      <c r="F2" s="7"/>
      <c r="G2" s="7"/>
      <c r="H2" s="7"/>
      <c r="I2" s="7"/>
      <c r="J2" s="7"/>
      <c r="K2" s="7"/>
      <c r="L2" s="7"/>
      <c r="M2" s="7"/>
      <c r="N2" s="7"/>
      <c r="O2" s="7"/>
      <c r="P2" s="7"/>
      <c r="Q2" s="7"/>
      <c r="R2" s="7"/>
      <c r="S2" s="7"/>
      <c r="T2" s="7"/>
      <c r="U2" s="7"/>
      <c r="V2" s="7"/>
      <c r="W2" s="7"/>
      <c r="X2" s="7"/>
      <c r="Y2" s="7"/>
      <c r="Z2" s="7"/>
    </row>
    <row r="3" spans="1:26" ht="15.75" customHeight="1" thickBot="1" x14ac:dyDescent="0.25">
      <c r="A3" s="7"/>
      <c r="B3" s="8" t="s">
        <v>10</v>
      </c>
      <c r="C3" s="8" t="s">
        <v>0</v>
      </c>
      <c r="D3" s="8" t="s">
        <v>1</v>
      </c>
      <c r="E3" s="8" t="s">
        <v>11</v>
      </c>
      <c r="F3" s="8" t="s">
        <v>12</v>
      </c>
      <c r="G3" s="8" t="s">
        <v>4</v>
      </c>
      <c r="H3" s="8" t="s">
        <v>13</v>
      </c>
      <c r="I3" s="8" t="s">
        <v>14</v>
      </c>
      <c r="J3" s="7"/>
      <c r="K3" s="7"/>
      <c r="L3" s="7"/>
      <c r="M3" s="7"/>
      <c r="N3" s="7"/>
      <c r="O3" s="7"/>
      <c r="P3" s="7"/>
      <c r="Q3" s="7"/>
      <c r="R3" s="7"/>
      <c r="S3" s="7"/>
      <c r="T3" s="7"/>
      <c r="U3" s="7"/>
      <c r="V3" s="7"/>
      <c r="W3" s="7"/>
      <c r="X3" s="7"/>
      <c r="Y3" s="7"/>
      <c r="Z3" s="7"/>
    </row>
    <row r="4" spans="1:26" ht="15.75" customHeight="1" thickBot="1" x14ac:dyDescent="0.25">
      <c r="A4" s="7"/>
      <c r="B4" s="9" t="s">
        <v>126</v>
      </c>
      <c r="C4" s="18" t="s">
        <v>144</v>
      </c>
      <c r="D4" s="9" t="s">
        <v>9</v>
      </c>
      <c r="E4" s="18" t="s">
        <v>147</v>
      </c>
      <c r="F4" s="18" t="s">
        <v>150</v>
      </c>
      <c r="G4" s="18"/>
      <c r="H4" s="9" t="s">
        <v>8</v>
      </c>
      <c r="I4" s="9" t="s">
        <v>85</v>
      </c>
      <c r="J4" s="7"/>
      <c r="K4" s="7"/>
      <c r="L4" s="7"/>
      <c r="M4" s="7"/>
      <c r="N4" s="7"/>
      <c r="O4" s="7"/>
      <c r="P4" s="7"/>
      <c r="Q4" s="7"/>
      <c r="R4" s="7"/>
      <c r="S4" s="7"/>
      <c r="T4" s="7"/>
      <c r="U4" s="7"/>
      <c r="V4" s="7"/>
      <c r="W4" s="7"/>
      <c r="X4" s="7"/>
      <c r="Y4" s="7"/>
      <c r="Z4" s="7"/>
    </row>
    <row r="5" spans="1:26" ht="15.75" customHeight="1" thickBot="1" x14ac:dyDescent="0.25">
      <c r="A5" s="7"/>
      <c r="B5" s="7"/>
      <c r="C5" s="11" t="s">
        <v>15</v>
      </c>
      <c r="D5" s="7"/>
      <c r="E5" s="7"/>
      <c r="F5" s="7"/>
      <c r="G5" s="11" t="s">
        <v>16</v>
      </c>
      <c r="H5" s="7"/>
      <c r="I5" s="11" t="s">
        <v>17</v>
      </c>
      <c r="J5" s="7"/>
      <c r="K5" s="7"/>
      <c r="L5" s="7"/>
      <c r="M5" s="7"/>
      <c r="N5" s="7"/>
      <c r="O5" s="7"/>
      <c r="P5" s="7"/>
      <c r="Q5" s="7"/>
      <c r="R5" s="7"/>
      <c r="S5" s="7"/>
      <c r="T5" s="7"/>
      <c r="U5" s="7"/>
      <c r="V5" s="7"/>
      <c r="W5" s="7"/>
      <c r="X5" s="7"/>
      <c r="Y5" s="7"/>
      <c r="Z5" s="7"/>
    </row>
    <row r="6" spans="1:26" ht="15.75" customHeight="1" thickBot="1" x14ac:dyDescent="0.25">
      <c r="A6" s="7"/>
      <c r="B6" s="16" t="s">
        <v>127</v>
      </c>
      <c r="C6" s="46" t="s">
        <v>155</v>
      </c>
      <c r="D6" s="20"/>
      <c r="E6" s="20"/>
      <c r="F6" s="21"/>
      <c r="G6" s="7" t="s">
        <v>57</v>
      </c>
      <c r="H6" s="7"/>
      <c r="I6" s="13">
        <v>4</v>
      </c>
      <c r="J6" s="7"/>
      <c r="K6" s="7"/>
      <c r="L6" s="7"/>
      <c r="M6" s="7"/>
      <c r="N6" s="7"/>
      <c r="O6" s="7"/>
      <c r="P6" s="7"/>
      <c r="Q6" s="7"/>
      <c r="R6" s="7"/>
      <c r="S6" s="7"/>
      <c r="T6" s="7"/>
      <c r="U6" s="7"/>
      <c r="V6" s="7"/>
      <c r="W6" s="7"/>
      <c r="X6" s="7"/>
      <c r="Y6" s="7"/>
      <c r="Z6" s="7"/>
    </row>
    <row r="7" spans="1:26" ht="15.75" customHeight="1" thickBot="1" x14ac:dyDescent="0.25">
      <c r="A7" s="7"/>
      <c r="B7" s="16" t="s">
        <v>128</v>
      </c>
      <c r="C7" s="46" t="s">
        <v>156</v>
      </c>
      <c r="D7" s="20"/>
      <c r="E7" s="20"/>
      <c r="F7" s="21"/>
      <c r="G7" s="7" t="s">
        <v>57</v>
      </c>
      <c r="H7" s="7"/>
      <c r="I7" s="13">
        <v>4</v>
      </c>
      <c r="J7" s="7"/>
      <c r="K7" s="7"/>
      <c r="L7" s="7"/>
      <c r="M7" s="7"/>
      <c r="N7" s="7"/>
      <c r="O7" s="7"/>
      <c r="P7" s="7"/>
      <c r="Q7" s="7"/>
      <c r="R7" s="7"/>
      <c r="S7" s="7"/>
      <c r="T7" s="7"/>
      <c r="U7" s="7"/>
      <c r="V7" s="7"/>
      <c r="W7" s="7"/>
      <c r="X7" s="7"/>
      <c r="Y7" s="7"/>
      <c r="Z7" s="7"/>
    </row>
    <row r="8" spans="1:26" ht="15.75" customHeight="1" thickBot="1" x14ac:dyDescent="0.25">
      <c r="A8" s="7"/>
      <c r="B8" s="16" t="s">
        <v>129</v>
      </c>
      <c r="C8" s="46" t="s">
        <v>157</v>
      </c>
      <c r="D8" s="20"/>
      <c r="E8" s="20"/>
      <c r="F8" s="21"/>
      <c r="G8" s="7" t="s">
        <v>57</v>
      </c>
      <c r="H8" s="7"/>
      <c r="I8" s="13">
        <v>2</v>
      </c>
      <c r="J8" s="7"/>
      <c r="K8" s="7"/>
      <c r="L8" s="7"/>
      <c r="M8" s="7"/>
      <c r="N8" s="7"/>
      <c r="O8" s="7"/>
      <c r="P8" s="7"/>
      <c r="Q8" s="7"/>
      <c r="R8" s="7"/>
      <c r="S8" s="7"/>
      <c r="T8" s="7"/>
      <c r="U8" s="7"/>
      <c r="V8" s="7"/>
      <c r="W8" s="7"/>
      <c r="X8" s="7"/>
      <c r="Y8" s="7"/>
      <c r="Z8" s="7"/>
    </row>
    <row r="9" spans="1:26" ht="15.75" customHeight="1" thickBot="1" x14ac:dyDescent="0.25">
      <c r="A9" s="7"/>
      <c r="B9" s="16" t="s">
        <v>130</v>
      </c>
      <c r="C9" s="46" t="s">
        <v>158</v>
      </c>
      <c r="D9" s="17"/>
      <c r="E9" s="17"/>
      <c r="F9" s="17"/>
      <c r="G9" s="7" t="s">
        <v>57</v>
      </c>
      <c r="H9" s="7"/>
      <c r="I9" s="13">
        <v>2</v>
      </c>
      <c r="J9" s="7"/>
      <c r="K9" s="7"/>
      <c r="L9" s="7"/>
      <c r="M9" s="7"/>
      <c r="N9" s="7"/>
      <c r="O9" s="7"/>
      <c r="P9" s="7"/>
      <c r="Q9" s="7"/>
      <c r="R9" s="7"/>
      <c r="S9" s="7"/>
      <c r="T9" s="7"/>
      <c r="U9" s="7"/>
      <c r="V9" s="7"/>
      <c r="W9" s="7"/>
      <c r="X9" s="7"/>
      <c r="Y9" s="7"/>
      <c r="Z9" s="7"/>
    </row>
    <row r="10" spans="1:26" ht="15.75" customHeight="1" thickBot="1" x14ac:dyDescent="0.25">
      <c r="A10" s="7"/>
      <c r="B10" s="8"/>
      <c r="C10" s="8"/>
      <c r="D10" s="8"/>
      <c r="E10" s="8"/>
      <c r="F10" s="8"/>
      <c r="G10" s="8"/>
      <c r="H10" s="8"/>
      <c r="I10" s="8"/>
      <c r="J10" s="7"/>
      <c r="K10" s="7"/>
      <c r="L10" s="7"/>
      <c r="M10" s="7"/>
      <c r="N10" s="7"/>
      <c r="O10" s="7"/>
      <c r="P10" s="7"/>
      <c r="Q10" s="7"/>
      <c r="R10" s="7"/>
      <c r="S10" s="7"/>
      <c r="T10" s="7"/>
      <c r="U10" s="7"/>
      <c r="V10" s="7"/>
      <c r="W10" s="7"/>
      <c r="X10" s="7"/>
      <c r="Y10" s="7"/>
      <c r="Z10" s="7"/>
    </row>
    <row r="11" spans="1:26" ht="15.75" customHeight="1" thickBot="1" x14ac:dyDescent="0.25">
      <c r="A11" s="7"/>
      <c r="B11" s="9" t="s">
        <v>131</v>
      </c>
      <c r="C11" s="18" t="s">
        <v>143</v>
      </c>
      <c r="D11" s="9" t="s">
        <v>9</v>
      </c>
      <c r="E11" s="18" t="s">
        <v>146</v>
      </c>
      <c r="F11" s="18" t="s">
        <v>149</v>
      </c>
      <c r="G11" s="9"/>
      <c r="H11" s="9" t="s">
        <v>8</v>
      </c>
      <c r="I11" s="9" t="s">
        <v>85</v>
      </c>
      <c r="J11" s="7"/>
      <c r="K11" s="15"/>
      <c r="L11" s="22"/>
      <c r="M11" s="23"/>
      <c r="N11" s="23"/>
      <c r="O11" s="24"/>
      <c r="P11" s="7"/>
      <c r="Q11" s="7"/>
      <c r="R11" s="7"/>
      <c r="S11" s="7"/>
      <c r="T11" s="7"/>
      <c r="U11" s="7"/>
      <c r="V11" s="7"/>
      <c r="W11" s="7"/>
      <c r="X11" s="7"/>
      <c r="Y11" s="7"/>
      <c r="Z11" s="7"/>
    </row>
    <row r="12" spans="1:26" ht="15.75" customHeight="1" thickBot="1" x14ac:dyDescent="0.25">
      <c r="A12" s="7"/>
      <c r="B12" s="7"/>
      <c r="C12" s="11" t="s">
        <v>15</v>
      </c>
      <c r="D12" s="7"/>
      <c r="E12" s="7"/>
      <c r="F12" s="7"/>
      <c r="G12" s="11" t="s">
        <v>16</v>
      </c>
      <c r="H12" s="7"/>
      <c r="I12" s="11" t="s">
        <v>17</v>
      </c>
      <c r="J12" s="7"/>
      <c r="K12" s="15"/>
      <c r="L12" s="22"/>
      <c r="M12" s="23"/>
      <c r="N12" s="23"/>
      <c r="O12" s="24"/>
      <c r="P12" s="7"/>
      <c r="Q12" s="7"/>
      <c r="R12" s="7"/>
      <c r="S12" s="7"/>
      <c r="T12" s="7"/>
      <c r="U12" s="7"/>
      <c r="V12" s="7"/>
      <c r="W12" s="7"/>
      <c r="X12" s="7"/>
      <c r="Y12" s="7"/>
      <c r="Z12" s="7"/>
    </row>
    <row r="13" spans="1:26" ht="15.75" customHeight="1" thickBot="1" x14ac:dyDescent="0.25">
      <c r="A13" s="7"/>
      <c r="B13" s="16" t="s">
        <v>132</v>
      </c>
      <c r="C13" s="46" t="s">
        <v>159</v>
      </c>
      <c r="D13" s="20"/>
      <c r="E13" s="20"/>
      <c r="F13" s="21"/>
      <c r="G13" s="7" t="s">
        <v>71</v>
      </c>
      <c r="H13" s="7"/>
      <c r="I13" s="13">
        <v>5</v>
      </c>
      <c r="J13" s="7"/>
      <c r="K13" s="15"/>
      <c r="L13" s="22"/>
      <c r="M13" s="23"/>
      <c r="N13" s="23"/>
      <c r="O13" s="24"/>
      <c r="P13" s="7"/>
      <c r="Q13" s="7"/>
      <c r="R13" s="7"/>
      <c r="S13" s="7"/>
      <c r="T13" s="7"/>
      <c r="U13" s="7"/>
      <c r="V13" s="7"/>
      <c r="W13" s="7"/>
      <c r="X13" s="7"/>
      <c r="Y13" s="7"/>
      <c r="Z13" s="7"/>
    </row>
    <row r="14" spans="1:26" ht="15.75" customHeight="1" thickBot="1" x14ac:dyDescent="0.25">
      <c r="A14" s="7"/>
      <c r="B14" s="16" t="s">
        <v>133</v>
      </c>
      <c r="C14" s="46" t="s">
        <v>160</v>
      </c>
      <c r="D14" s="20"/>
      <c r="E14" s="20"/>
      <c r="F14" s="21"/>
      <c r="G14" s="7" t="s">
        <v>71</v>
      </c>
      <c r="H14" s="7"/>
      <c r="I14" s="40">
        <v>4</v>
      </c>
      <c r="J14" s="7"/>
      <c r="K14" s="15"/>
      <c r="L14" s="22"/>
      <c r="M14" s="23"/>
      <c r="N14" s="23"/>
      <c r="O14" s="24"/>
      <c r="P14" s="7"/>
      <c r="Q14" s="7"/>
      <c r="R14" s="7"/>
      <c r="S14" s="7"/>
      <c r="T14" s="7"/>
      <c r="U14" s="7"/>
      <c r="V14" s="7"/>
      <c r="W14" s="7"/>
      <c r="X14" s="7"/>
      <c r="Y14" s="7"/>
      <c r="Z14" s="7"/>
    </row>
    <row r="15" spans="1:26" ht="15.75" customHeight="1" thickBot="1" x14ac:dyDescent="0.25">
      <c r="A15" s="7"/>
      <c r="B15" s="16" t="s">
        <v>134</v>
      </c>
      <c r="C15" s="46" t="s">
        <v>161</v>
      </c>
      <c r="D15" s="20"/>
      <c r="E15" s="20"/>
      <c r="F15" s="21"/>
      <c r="G15" s="7" t="s">
        <v>71</v>
      </c>
      <c r="H15" s="7"/>
      <c r="I15" s="41">
        <v>3</v>
      </c>
      <c r="J15" s="13"/>
      <c r="K15" s="15"/>
      <c r="L15" s="22"/>
      <c r="M15" s="23"/>
      <c r="N15" s="23"/>
      <c r="O15" s="24"/>
      <c r="P15" s="7"/>
      <c r="Q15" s="7"/>
      <c r="R15" s="7"/>
      <c r="S15" s="7"/>
      <c r="T15" s="7"/>
      <c r="U15" s="7"/>
      <c r="V15" s="7"/>
      <c r="W15" s="7"/>
      <c r="X15" s="7"/>
      <c r="Y15" s="7"/>
      <c r="Z15" s="7"/>
    </row>
    <row r="16" spans="1:26" ht="15.75" customHeight="1" thickBot="1" x14ac:dyDescent="0.25">
      <c r="A16" s="7"/>
      <c r="B16" s="16" t="s">
        <v>135</v>
      </c>
      <c r="C16" s="46" t="s">
        <v>162</v>
      </c>
      <c r="D16" s="17"/>
      <c r="E16" s="17"/>
      <c r="F16" s="17"/>
      <c r="G16" s="7" t="s">
        <v>71</v>
      </c>
      <c r="H16" s="7"/>
      <c r="I16" s="13">
        <v>2</v>
      </c>
      <c r="J16" s="7"/>
      <c r="K16" s="15"/>
      <c r="L16" s="22"/>
      <c r="M16" s="23"/>
      <c r="N16" s="23"/>
      <c r="O16" s="24"/>
      <c r="P16" s="7"/>
      <c r="Q16" s="7"/>
      <c r="R16" s="7"/>
      <c r="S16" s="7"/>
      <c r="T16" s="7"/>
      <c r="U16" s="7"/>
      <c r="V16" s="7"/>
      <c r="W16" s="7"/>
      <c r="X16" s="7"/>
      <c r="Y16" s="7"/>
      <c r="Z16" s="7"/>
    </row>
    <row r="17" spans="1:26" ht="15.75" customHeight="1" thickBot="1" x14ac:dyDescent="0.25">
      <c r="A17" s="7"/>
      <c r="B17" s="8"/>
      <c r="C17" s="8"/>
      <c r="D17" s="8"/>
      <c r="E17" s="8"/>
      <c r="F17" s="8"/>
      <c r="G17" s="8"/>
      <c r="H17" s="8"/>
      <c r="I17" s="8"/>
      <c r="J17" s="7"/>
      <c r="K17" s="7"/>
      <c r="L17" s="7"/>
      <c r="M17" s="7"/>
      <c r="N17" s="7"/>
      <c r="O17" s="7"/>
      <c r="P17" s="7"/>
      <c r="Q17" s="7"/>
      <c r="R17" s="7"/>
      <c r="S17" s="7"/>
      <c r="T17" s="7"/>
      <c r="U17" s="7"/>
      <c r="V17" s="7"/>
      <c r="W17" s="7"/>
      <c r="X17" s="7"/>
      <c r="Y17" s="7"/>
      <c r="Z17" s="7"/>
    </row>
    <row r="18" spans="1:26" ht="15.75" customHeight="1" thickBot="1" x14ac:dyDescent="0.25">
      <c r="A18" s="7"/>
      <c r="B18" s="9" t="s">
        <v>136</v>
      </c>
      <c r="C18" s="18" t="s">
        <v>142</v>
      </c>
      <c r="D18" s="9" t="s">
        <v>9</v>
      </c>
      <c r="E18" s="18" t="s">
        <v>145</v>
      </c>
      <c r="F18" s="18" t="s">
        <v>148</v>
      </c>
      <c r="G18" s="9"/>
      <c r="H18" s="9" t="s">
        <v>8</v>
      </c>
      <c r="I18" s="9" t="s">
        <v>85</v>
      </c>
      <c r="J18" s="7"/>
      <c r="K18" s="10"/>
      <c r="L18" s="10"/>
      <c r="M18" s="10"/>
      <c r="N18" s="10"/>
      <c r="O18" s="10"/>
      <c r="P18" s="10"/>
      <c r="Q18" s="10"/>
      <c r="R18" s="10"/>
      <c r="S18" s="7"/>
      <c r="T18" s="7"/>
      <c r="U18" s="7"/>
      <c r="V18" s="7"/>
      <c r="W18" s="7"/>
      <c r="X18" s="7"/>
      <c r="Y18" s="7"/>
      <c r="Z18" s="7"/>
    </row>
    <row r="19" spans="1:26" ht="15.75" customHeight="1" thickBot="1" x14ac:dyDescent="0.25">
      <c r="A19" s="7"/>
      <c r="B19" s="7"/>
      <c r="C19" s="11" t="s">
        <v>15</v>
      </c>
      <c r="D19" s="7"/>
      <c r="E19" s="7"/>
      <c r="F19" s="7"/>
      <c r="G19" s="11" t="s">
        <v>16</v>
      </c>
      <c r="H19" s="7"/>
      <c r="I19" s="11" t="s">
        <v>17</v>
      </c>
      <c r="J19" s="7"/>
      <c r="K19" s="7"/>
      <c r="L19" s="7"/>
      <c r="M19" s="7"/>
      <c r="N19" s="7"/>
      <c r="O19" s="7"/>
      <c r="P19" s="7"/>
      <c r="Q19" s="7"/>
      <c r="R19" s="7"/>
      <c r="S19" s="7"/>
      <c r="T19" s="7"/>
      <c r="U19" s="7"/>
      <c r="V19" s="7"/>
      <c r="W19" s="7"/>
      <c r="X19" s="7"/>
      <c r="Y19" s="7"/>
      <c r="Z19" s="7"/>
    </row>
    <row r="20" spans="1:26" ht="15.75" customHeight="1" thickBot="1" x14ac:dyDescent="0.25">
      <c r="A20" s="7"/>
      <c r="B20" s="12" t="s">
        <v>137</v>
      </c>
      <c r="C20" s="46" t="s">
        <v>151</v>
      </c>
      <c r="D20" s="20"/>
      <c r="E20" s="20"/>
      <c r="F20" s="21"/>
      <c r="G20" s="7" t="s">
        <v>71</v>
      </c>
      <c r="H20" s="7"/>
      <c r="I20" s="13">
        <v>4</v>
      </c>
      <c r="J20" s="7"/>
      <c r="K20" s="7"/>
      <c r="L20" s="48"/>
      <c r="M20" s="49"/>
      <c r="N20" s="49"/>
      <c r="O20" s="50"/>
      <c r="P20" s="7"/>
      <c r="Q20" s="7"/>
      <c r="R20" s="7"/>
      <c r="S20" s="7"/>
      <c r="T20" s="7"/>
      <c r="U20" s="7"/>
      <c r="V20" s="7"/>
      <c r="W20" s="7"/>
      <c r="X20" s="7"/>
      <c r="Y20" s="7"/>
      <c r="Z20" s="7"/>
    </row>
    <row r="21" spans="1:26" ht="15.75" customHeight="1" thickBot="1" x14ac:dyDescent="0.25">
      <c r="A21" s="7"/>
      <c r="B21" s="12" t="s">
        <v>138</v>
      </c>
      <c r="C21" s="46" t="s">
        <v>152</v>
      </c>
      <c r="D21" s="20"/>
      <c r="E21" s="20"/>
      <c r="F21" s="21"/>
      <c r="G21" s="7" t="s">
        <v>71</v>
      </c>
      <c r="H21" s="7"/>
      <c r="I21" s="13">
        <v>5</v>
      </c>
      <c r="J21" s="7"/>
      <c r="K21" s="7"/>
      <c r="L21" s="48"/>
      <c r="M21" s="49"/>
      <c r="N21" s="49"/>
      <c r="O21" s="50"/>
      <c r="P21" s="7"/>
      <c r="Q21" s="7"/>
      <c r="R21" s="7"/>
      <c r="S21" s="7"/>
      <c r="T21" s="7"/>
      <c r="U21" s="7"/>
      <c r="V21" s="7"/>
      <c r="W21" s="7"/>
      <c r="X21" s="7"/>
      <c r="Y21" s="7"/>
      <c r="Z21" s="7"/>
    </row>
    <row r="22" spans="1:26" ht="15.75" customHeight="1" thickBot="1" x14ac:dyDescent="0.25">
      <c r="A22" s="7"/>
      <c r="B22" s="12" t="s">
        <v>139</v>
      </c>
      <c r="C22" s="46" t="s">
        <v>153</v>
      </c>
      <c r="D22" s="20"/>
      <c r="E22" s="20"/>
      <c r="F22" s="21"/>
      <c r="G22" s="7" t="s">
        <v>71</v>
      </c>
      <c r="H22" s="7"/>
      <c r="I22" s="13">
        <v>3</v>
      </c>
      <c r="J22" s="7"/>
      <c r="K22" s="7"/>
      <c r="L22" s="48"/>
      <c r="M22" s="49"/>
      <c r="N22" s="49"/>
      <c r="O22" s="50"/>
      <c r="P22" s="7"/>
      <c r="Q22" s="7"/>
      <c r="R22" s="7"/>
      <c r="S22" s="7"/>
      <c r="T22" s="7"/>
      <c r="U22" s="7"/>
      <c r="V22" s="7"/>
      <c r="W22" s="7"/>
      <c r="X22" s="7"/>
      <c r="Y22" s="7"/>
      <c r="Z22" s="7"/>
    </row>
    <row r="23" spans="1:26" ht="15.75" customHeight="1" thickBot="1" x14ac:dyDescent="0.25">
      <c r="A23" s="7"/>
      <c r="B23" s="12" t="s">
        <v>140</v>
      </c>
      <c r="C23" s="46" t="s">
        <v>154</v>
      </c>
      <c r="D23" s="20"/>
      <c r="E23" s="20"/>
      <c r="F23" s="21"/>
      <c r="G23" s="7" t="s">
        <v>71</v>
      </c>
      <c r="H23" s="7"/>
      <c r="I23" s="13">
        <v>2</v>
      </c>
      <c r="J23" s="7"/>
      <c r="K23" s="15"/>
      <c r="L23" s="48"/>
      <c r="M23" s="49"/>
      <c r="N23" s="49"/>
      <c r="O23" s="50"/>
      <c r="P23" s="7"/>
      <c r="Q23" s="7"/>
      <c r="R23" s="7"/>
      <c r="S23" s="7"/>
      <c r="T23" s="7"/>
      <c r="U23" s="7"/>
      <c r="V23" s="7"/>
      <c r="W23" s="7"/>
      <c r="X23" s="7"/>
      <c r="Y23" s="7"/>
      <c r="Z23" s="7"/>
    </row>
    <row r="24" spans="1:26" ht="15.75" customHeight="1" thickBot="1" x14ac:dyDescent="0.25">
      <c r="A24" s="7"/>
      <c r="B24" s="14"/>
      <c r="C24" s="19"/>
      <c r="D24" s="20"/>
      <c r="E24" s="20"/>
      <c r="F24" s="21"/>
      <c r="G24" s="7"/>
      <c r="H24" s="7"/>
      <c r="I24" s="13"/>
      <c r="J24" s="7"/>
      <c r="K24" s="15"/>
      <c r="L24" s="22"/>
      <c r="M24" s="23"/>
      <c r="N24" s="23"/>
      <c r="O24" s="24"/>
      <c r="P24" s="7"/>
      <c r="Q24" s="7"/>
      <c r="R24" s="7"/>
      <c r="S24" s="7"/>
      <c r="T24" s="7"/>
      <c r="U24" s="7"/>
      <c r="V24" s="7"/>
      <c r="W24" s="7"/>
      <c r="X24" s="7"/>
      <c r="Y24" s="7"/>
      <c r="Z24" s="7"/>
    </row>
    <row r="25" spans="1:26" ht="13.5" thickBot="1" x14ac:dyDescent="0.25">
      <c r="A25" s="16"/>
      <c r="B25" s="16"/>
      <c r="C25" s="16"/>
      <c r="D25" s="16"/>
      <c r="E25" s="16"/>
      <c r="F25" s="16"/>
      <c r="G25" s="16"/>
      <c r="H25" s="16"/>
      <c r="I25" s="16"/>
      <c r="J25" s="16"/>
      <c r="K25" s="16"/>
      <c r="L25" s="16"/>
      <c r="M25" s="16"/>
      <c r="N25" s="16"/>
      <c r="O25" s="16"/>
      <c r="P25" s="16"/>
      <c r="Q25" s="16"/>
      <c r="R25" s="16"/>
      <c r="S25" s="16"/>
      <c r="T25" s="16"/>
    </row>
    <row r="26" spans="1:26" ht="13.5" thickBot="1" x14ac:dyDescent="0.25">
      <c r="A26" s="16"/>
      <c r="B26" s="16"/>
      <c r="C26" s="16"/>
      <c r="D26" s="16"/>
      <c r="E26" s="16"/>
      <c r="F26" s="16"/>
      <c r="G26" s="16"/>
      <c r="H26" s="16"/>
      <c r="I26" s="16"/>
      <c r="J26" s="16"/>
      <c r="K26" s="16"/>
      <c r="L26" s="16"/>
      <c r="M26" s="16"/>
      <c r="N26" s="16"/>
      <c r="O26" s="16"/>
      <c r="P26" s="16"/>
      <c r="Q26" s="16"/>
      <c r="R26" s="16"/>
      <c r="S26" s="16"/>
      <c r="T26" s="16"/>
    </row>
    <row r="27" spans="1:26" ht="13.5" thickBot="1" x14ac:dyDescent="0.25">
      <c r="A27" s="16"/>
      <c r="B27" s="16"/>
      <c r="C27" s="16"/>
      <c r="D27" s="16"/>
      <c r="E27" s="16"/>
      <c r="F27" s="16"/>
      <c r="G27" s="16"/>
      <c r="H27" s="16"/>
      <c r="I27" s="16"/>
      <c r="J27" s="16"/>
      <c r="K27" s="16"/>
      <c r="L27" s="16"/>
      <c r="M27" s="16"/>
      <c r="N27" s="16"/>
      <c r="O27" s="16"/>
      <c r="P27" s="16"/>
      <c r="Q27" s="16"/>
      <c r="R27" s="16"/>
      <c r="S27" s="16"/>
      <c r="T27" s="16"/>
    </row>
    <row r="28" spans="1:26" ht="13.5" thickBot="1" x14ac:dyDescent="0.25">
      <c r="A28" s="16"/>
      <c r="B28" s="16"/>
      <c r="C28" s="16"/>
      <c r="D28" s="16"/>
      <c r="E28" s="16"/>
      <c r="F28" s="16"/>
      <c r="G28" s="16"/>
      <c r="H28" s="16"/>
      <c r="I28" s="16"/>
      <c r="J28" s="16"/>
      <c r="K28" s="16"/>
      <c r="L28" s="16"/>
      <c r="M28" s="16"/>
      <c r="N28" s="16"/>
      <c r="O28" s="16"/>
      <c r="P28" s="16"/>
      <c r="Q28" s="16"/>
      <c r="R28" s="16"/>
      <c r="S28" s="16"/>
      <c r="T28" s="16"/>
    </row>
    <row r="29" spans="1:26" ht="13.5" thickBot="1" x14ac:dyDescent="0.25">
      <c r="A29" s="16"/>
      <c r="B29" s="16"/>
      <c r="C29" s="16"/>
      <c r="D29" s="16"/>
      <c r="E29" s="16"/>
      <c r="F29" s="16"/>
      <c r="G29" s="16"/>
      <c r="H29" s="16"/>
      <c r="I29" s="16"/>
      <c r="J29" s="16"/>
      <c r="K29" s="16"/>
      <c r="L29" s="16"/>
      <c r="M29" s="16"/>
      <c r="N29" s="16"/>
      <c r="O29" s="16"/>
      <c r="P29" s="16"/>
      <c r="Q29" s="16"/>
      <c r="R29" s="16"/>
      <c r="S29" s="16"/>
      <c r="T29" s="16"/>
    </row>
    <row r="30" spans="1:26" ht="13.5" thickBot="1" x14ac:dyDescent="0.25">
      <c r="A30" s="16"/>
      <c r="B30" s="16"/>
      <c r="C30" s="16"/>
      <c r="D30" s="16"/>
      <c r="E30" s="16"/>
      <c r="F30" s="16"/>
      <c r="G30" s="16"/>
      <c r="H30" s="16"/>
      <c r="I30" s="16"/>
      <c r="J30" s="16"/>
      <c r="K30" s="16"/>
      <c r="L30" s="16"/>
      <c r="M30" s="16"/>
      <c r="N30" s="16"/>
      <c r="O30" s="16"/>
      <c r="P30" s="16"/>
      <c r="Q30" s="16"/>
      <c r="R30" s="16"/>
      <c r="S30" s="16"/>
      <c r="T30" s="16"/>
    </row>
    <row r="31" spans="1:26" ht="15.75" customHeight="1" thickBot="1" x14ac:dyDescent="0.25">
      <c r="A31" s="7"/>
      <c r="B31" s="16"/>
      <c r="C31" s="45"/>
      <c r="D31" s="17"/>
      <c r="E31" s="17"/>
      <c r="F31" s="17"/>
      <c r="G31" s="7"/>
      <c r="H31" s="7"/>
      <c r="I31" s="13"/>
      <c r="J31" s="7"/>
      <c r="K31" s="15"/>
      <c r="L31" s="22"/>
      <c r="M31" s="23"/>
      <c r="N31" s="23"/>
      <c r="O31" s="24"/>
      <c r="P31" s="7"/>
      <c r="Q31" s="7"/>
      <c r="R31" s="7"/>
      <c r="S31" s="7"/>
      <c r="T31" s="7"/>
      <c r="U31" s="7"/>
      <c r="V31" s="7"/>
      <c r="W31" s="7"/>
      <c r="X31" s="7"/>
      <c r="Y31" s="7"/>
      <c r="Z31" s="7"/>
    </row>
    <row r="32" spans="1:26" ht="15.75" customHeight="1" thickBot="1" x14ac:dyDescent="0.25">
      <c r="A32" s="7"/>
      <c r="B32" s="16"/>
      <c r="C32" s="45"/>
      <c r="D32" s="17"/>
      <c r="E32" s="17"/>
      <c r="F32" s="17"/>
      <c r="G32" s="7"/>
      <c r="H32" s="7"/>
      <c r="I32" s="13"/>
      <c r="J32" s="7"/>
      <c r="K32" s="15"/>
      <c r="L32" s="22"/>
      <c r="M32" s="23"/>
      <c r="N32" s="23"/>
      <c r="O32" s="24"/>
      <c r="P32" s="7"/>
      <c r="Q32" s="7"/>
      <c r="R32" s="7"/>
      <c r="S32" s="7"/>
      <c r="T32" s="7"/>
      <c r="U32" s="7"/>
      <c r="V32" s="7"/>
      <c r="W32" s="7"/>
      <c r="X32" s="7"/>
      <c r="Y32" s="7"/>
      <c r="Z32" s="7"/>
    </row>
    <row r="33" spans="1:26" ht="15.75" customHeight="1" thickBot="1" x14ac:dyDescent="0.25">
      <c r="A33" s="7"/>
      <c r="B33" s="16"/>
      <c r="C33" s="45"/>
      <c r="D33" s="17"/>
      <c r="E33" s="17"/>
      <c r="F33" s="17"/>
      <c r="G33" s="7"/>
      <c r="H33" s="7"/>
      <c r="I33" s="13"/>
      <c r="J33" s="7"/>
      <c r="K33" s="15"/>
      <c r="L33" s="22"/>
      <c r="M33" s="23"/>
      <c r="N33" s="23"/>
      <c r="O33" s="24"/>
      <c r="P33" s="7"/>
      <c r="Q33" s="7"/>
      <c r="R33" s="7"/>
      <c r="S33" s="7"/>
      <c r="T33" s="7"/>
      <c r="U33" s="7"/>
      <c r="V33" s="7"/>
      <c r="W33" s="7"/>
      <c r="X33" s="7"/>
      <c r="Y33" s="7"/>
      <c r="Z33" s="7"/>
    </row>
    <row r="34" spans="1:26" ht="15.75" customHeight="1" thickBot="1" x14ac:dyDescent="0.25">
      <c r="A34" s="7"/>
      <c r="B34" s="16"/>
      <c r="C34" s="45"/>
      <c r="D34" s="17"/>
      <c r="E34" s="17"/>
      <c r="F34" s="17"/>
      <c r="G34" s="7"/>
      <c r="H34" s="7"/>
      <c r="I34" s="13"/>
      <c r="J34" s="7"/>
      <c r="K34" s="15"/>
      <c r="L34" s="22"/>
      <c r="M34" s="23"/>
      <c r="N34" s="23"/>
      <c r="O34" s="24"/>
      <c r="P34" s="7"/>
      <c r="Q34" s="7"/>
      <c r="R34" s="7"/>
      <c r="S34" s="7"/>
      <c r="T34" s="7"/>
      <c r="U34" s="7"/>
      <c r="V34" s="7"/>
      <c r="W34" s="7"/>
      <c r="X34" s="7"/>
      <c r="Y34" s="7"/>
      <c r="Z34" s="7"/>
    </row>
    <row r="35" spans="1:26" ht="15.75" customHeight="1" thickBot="1" x14ac:dyDescent="0.25">
      <c r="A35" s="7"/>
      <c r="B35" s="16"/>
      <c r="C35" s="45"/>
      <c r="D35" s="17"/>
      <c r="E35" s="17"/>
      <c r="F35" s="17"/>
      <c r="G35" s="7"/>
      <c r="H35" s="7"/>
      <c r="I35" s="13"/>
      <c r="J35" s="7"/>
      <c r="K35" s="15"/>
      <c r="L35" s="22"/>
      <c r="M35" s="23"/>
      <c r="N35" s="23"/>
      <c r="O35" s="24"/>
      <c r="P35" s="7"/>
      <c r="Q35" s="7"/>
      <c r="R35" s="7"/>
      <c r="S35" s="7"/>
      <c r="T35" s="7"/>
      <c r="U35" s="7"/>
      <c r="V35" s="7"/>
      <c r="W35" s="7"/>
      <c r="X35" s="7"/>
      <c r="Y35" s="7"/>
      <c r="Z35" s="7"/>
    </row>
    <row r="36" spans="1:26" ht="15.75" customHeight="1" thickBot="1" x14ac:dyDescent="0.25">
      <c r="A36" s="7"/>
      <c r="B36" s="16"/>
      <c r="C36" s="45"/>
      <c r="D36" s="17"/>
      <c r="E36" s="17"/>
      <c r="F36" s="17"/>
      <c r="G36" s="7"/>
      <c r="H36" s="7"/>
      <c r="I36" s="13"/>
      <c r="J36" s="7"/>
      <c r="K36" s="15"/>
      <c r="L36" s="22"/>
      <c r="M36" s="23"/>
      <c r="N36" s="23"/>
      <c r="O36" s="24"/>
      <c r="P36" s="7"/>
      <c r="Q36" s="7"/>
      <c r="R36" s="7"/>
      <c r="S36" s="7"/>
      <c r="T36" s="7"/>
      <c r="U36" s="7"/>
      <c r="V36" s="7"/>
      <c r="W36" s="7"/>
      <c r="X36" s="7"/>
      <c r="Y36" s="7"/>
      <c r="Z36" s="7"/>
    </row>
    <row r="37" spans="1:26" ht="15.75" customHeight="1" thickBot="1"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43" spans="1:26" ht="13.5" thickBot="1" x14ac:dyDescent="0.25"/>
    <row r="44" spans="1:26" ht="15.75" customHeight="1" thickBot="1"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5.75" customHeight="1" thickBot="1"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5.75" customHeight="1" thickBot="1"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5.75" customHeight="1" thickBot="1"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5.75" customHeight="1" thickBot="1"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5.75" customHeight="1" thickBot="1"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5.75" customHeight="1" thickBot="1"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5.75" customHeight="1" thickBot="1"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5.75" customHeight="1" thickBot="1"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5.75" customHeight="1" thickBot="1"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5.75" customHeight="1" thickBot="1"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5.75" customHeight="1" thickBot="1"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5.75" customHeight="1" thickBot="1"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5.75" customHeight="1" thickBot="1"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5.75" customHeight="1" thickBot="1"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5.75" customHeight="1" thickBot="1"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5.75" customHeight="1" thickBot="1"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5.75" customHeight="1" thickBot="1"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5.75" customHeight="1" thickBot="1"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5.75" customHeight="1" thickBot="1"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5.75" customHeight="1" thickBot="1"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5.75" customHeight="1" thickBot="1"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5.75" customHeight="1" thickBot="1"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5.75" customHeight="1" thickBot="1"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5.75" customHeight="1" thickBot="1"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5.75" customHeight="1" thickBot="1"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5.75" customHeight="1" thickBot="1"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5.75" customHeight="1" thickBot="1"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5.75" customHeight="1" thickBot="1"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5.75" customHeight="1" thickBot="1"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5.75" customHeight="1" thickBot="1"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5.75" customHeight="1" thickBot="1"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5.75" customHeight="1" thickBot="1"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5.75" customHeight="1" thickBot="1"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5.75" customHeight="1" thickBot="1"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5.75" customHeight="1" thickBot="1"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5.75" customHeight="1" thickBot="1"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5.75" customHeight="1" thickBot="1"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5.75" customHeight="1" thickBot="1"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5.75" customHeight="1" thickBot="1"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5.75" customHeight="1" thickBot="1"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5.75" customHeight="1" thickBot="1"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5.75" customHeight="1" thickBot="1"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5.75" customHeight="1" thickBot="1"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5.75" customHeight="1" thickBot="1"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5.75" customHeight="1" thickBot="1"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5.75" customHeight="1" thickBot="1"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5.75" customHeight="1" thickBot="1"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5.75" customHeight="1" thickBot="1"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5.75" customHeight="1" thickBot="1"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5.75" customHeight="1" thickBot="1"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5.75" customHeight="1" thickBot="1"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5.75" customHeight="1" thickBot="1"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5.75" customHeight="1" thickBot="1"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5.75" customHeight="1" thickBot="1"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5.75" customHeight="1" thickBot="1"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5.75" customHeight="1" thickBot="1"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5.75" customHeight="1" thickBot="1"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5.75" customHeight="1" thickBot="1"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5.75" customHeight="1" thickBot="1"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5.75" customHeight="1" thickBot="1"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5.75" customHeight="1" thickBot="1"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5.75" customHeight="1" thickBot="1"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5.75" customHeight="1" thickBot="1"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5.75" customHeight="1" thickBot="1"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5.75" customHeight="1" thickBot="1"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5.75" customHeight="1" thickBot="1"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5.75" customHeight="1" thickBot="1"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5.75" customHeight="1" thickBot="1"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5.75" customHeight="1" thickBot="1"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5.75" customHeight="1" thickBot="1"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5.75" customHeight="1" thickBot="1"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5.75" customHeight="1" thickBot="1"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5.75" customHeight="1" thickBot="1"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5.75" customHeight="1" thickBot="1"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5.75" customHeight="1" thickBot="1"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5.75" customHeight="1" thickBot="1"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5.75" customHeight="1" thickBot="1"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5.75" customHeight="1" thickBot="1"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5.75" customHeight="1" thickBot="1"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5.75" customHeight="1" thickBot="1"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5.75" customHeight="1" thickBot="1"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5.75" customHeight="1" thickBot="1"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5.75" customHeight="1" thickBot="1"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5.75" customHeight="1" thickBot="1"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5.75" customHeight="1" thickBot="1"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5.75" customHeight="1" thickBot="1"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5.75" customHeight="1" thickBot="1"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5.75" customHeight="1" thickBot="1"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5.75" customHeight="1" thickBot="1"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5.75" customHeight="1" thickBot="1"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5.75" customHeight="1" thickBot="1"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5.75" customHeight="1" thickBot="1"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5.75" customHeight="1" thickBot="1"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5.75" customHeight="1" thickBot="1"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5.75" customHeight="1" thickBot="1"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5.75" customHeight="1" thickBot="1"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5.75" customHeight="1" thickBot="1"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5.75" customHeight="1" thickBot="1"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5.75" customHeight="1" thickBot="1"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5.75" customHeight="1" thickBot="1"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5.75" customHeight="1" thickBot="1"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5.75" customHeight="1" thickBot="1"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5.75" customHeight="1" thickBot="1"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5.75" customHeight="1" thickBot="1"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5.75" customHeight="1" thickBot="1"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5.75" customHeight="1" thickBot="1"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5.75" customHeight="1" thickBot="1"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5.75" customHeight="1" thickBot="1"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5.75" customHeight="1" thickBot="1"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5.75" customHeight="1" thickBot="1"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5.75" customHeight="1" thickBot="1"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5.75" customHeight="1" thickBot="1"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5.75" customHeight="1" thickBot="1"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5.75" customHeight="1" thickBot="1"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5.75" customHeight="1" thickBot="1"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5.75" customHeight="1" thickBot="1"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5.75" customHeight="1" thickBot="1"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5.75" customHeight="1" thickBot="1"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5.75" customHeight="1" thickBot="1"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5.75" customHeight="1" thickBot="1"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5.75" customHeight="1" thickBot="1"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5.75" customHeight="1" thickBot="1"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5.75" customHeight="1" thickBot="1"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5.75" customHeight="1" thickBot="1"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5.75" customHeight="1" thickBot="1"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5.75" customHeight="1" thickBot="1"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5.75" customHeight="1" thickBot="1"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5.75" customHeight="1" thickBot="1"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5.75" customHeight="1" thickBot="1"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5.75" customHeight="1" thickBot="1"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5.75" customHeight="1" thickBot="1"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5.75" customHeight="1" thickBot="1"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5.75" customHeight="1" thickBot="1"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5.75" customHeight="1" thickBot="1"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5.75" customHeight="1" thickBot="1"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5.75" customHeight="1" thickBot="1"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5.75" customHeight="1" thickBot="1"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5.75" customHeight="1" thickBot="1"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5.75" customHeight="1" thickBot="1"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5.75" customHeight="1" thickBot="1"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5.75" customHeight="1" thickBot="1"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5.75" customHeight="1" thickBot="1"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5.75" customHeight="1" thickBot="1"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5.75" customHeight="1" thickBot="1"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5.75" customHeight="1" thickBot="1"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5.75" customHeight="1" thickBot="1"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5.75" customHeight="1" thickBot="1"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5.75" customHeight="1" thickBot="1"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5.75" customHeight="1" thickBot="1"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5.75" customHeight="1" thickBot="1"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5.75" customHeight="1" thickBot="1"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5.75" customHeight="1" thickBot="1"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5.75" customHeight="1" thickBot="1"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5.75" customHeight="1" thickBot="1"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5.75" customHeight="1" thickBot="1"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5.75" customHeight="1" thickBot="1"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5.75" customHeight="1" thickBot="1"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5.75" customHeight="1" thickBot="1"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5.75" customHeight="1" thickBot="1"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5.75" customHeight="1" thickBot="1"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5.75" customHeight="1" thickBot="1"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5.75" customHeight="1" thickBot="1"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5.75" customHeight="1" thickBot="1"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5.75" customHeight="1" thickBot="1"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5.75" customHeight="1" thickBot="1"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5.75" customHeight="1" thickBot="1"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5.75" customHeight="1" thickBot="1"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5.75" customHeight="1" thickBot="1"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5.75" customHeight="1" thickBot="1"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5.75" customHeight="1" thickBot="1"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5.75" customHeight="1" thickBot="1"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5.75" customHeight="1" thickBot="1"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5.75" customHeight="1" thickBot="1"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5.75" customHeight="1" thickBot="1"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5.75" customHeight="1" thickBot="1"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5.75" customHeight="1" thickBot="1"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5.75" customHeight="1" thickBot="1"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5.75" customHeight="1" thickBot="1"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5.75" customHeight="1" thickBot="1"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5.75" customHeight="1" thickBot="1"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5.75" customHeight="1" thickBot="1"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5.75" customHeight="1" thickBot="1"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5.75" customHeight="1" thickBot="1"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5.75" customHeight="1" thickBot="1"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5.75" customHeight="1" thickBot="1"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5.75" customHeight="1" thickBot="1"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5.75" customHeight="1" thickBot="1"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5.75" customHeight="1" thickBot="1"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5.75" customHeight="1" thickBot="1"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5.75" customHeight="1" thickBot="1"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5.75" customHeight="1" thickBot="1"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5.75" customHeight="1" thickBot="1"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5.75" customHeight="1" thickBot="1"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5.75" customHeight="1" thickBot="1"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5.75" customHeight="1" thickBot="1"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5.75" customHeight="1" thickBot="1"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5.75" customHeight="1" thickBot="1"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5.75" customHeight="1" thickBot="1"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5.75" customHeight="1" thickBot="1"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5.75" customHeight="1" thickBot="1"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5.75" customHeight="1" thickBot="1"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5.75" customHeight="1" thickBot="1"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5.75" customHeight="1" thickBot="1"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5.75" customHeight="1" thickBot="1"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5.75" customHeight="1" thickBot="1"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5.75" customHeight="1" thickBot="1"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5.75" customHeight="1" thickBot="1"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5.75" customHeight="1" thickBot="1"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5.75" customHeight="1" thickBot="1"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5.75" customHeight="1" thickBot="1"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5.75" customHeight="1" thickBot="1"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5.75" customHeight="1" thickBot="1"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5.75" customHeight="1" thickBot="1"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5.75" customHeight="1" thickBot="1"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5.75" customHeight="1" thickBot="1"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5.75" customHeight="1" thickBot="1"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5.75" customHeight="1" thickBot="1"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5.75" customHeight="1" thickBot="1"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5.75" customHeight="1" thickBot="1"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5.75" customHeight="1" thickBot="1"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5.75" customHeight="1" thickBot="1"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5.75" customHeight="1" thickBot="1"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5.75" customHeight="1" thickBot="1"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5.75" customHeight="1" thickBot="1"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5.75" customHeight="1" thickBot="1"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5.75" customHeight="1" thickBot="1"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5.75" customHeight="1" thickBot="1"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5.75" customHeight="1" thickBot="1"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5.75" customHeight="1" thickBot="1"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5.75" customHeight="1" thickBot="1"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5.75" customHeight="1" thickBot="1"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5.75" customHeight="1" thickBot="1"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5.75" customHeight="1" thickBot="1"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5.75" customHeight="1" thickBot="1"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5.75" customHeight="1" thickBot="1"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5.75" customHeight="1" thickBot="1"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5.75" customHeight="1" thickBot="1"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5.75" customHeight="1" thickBot="1"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5.75" customHeight="1" thickBot="1"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5.75" customHeight="1" thickBot="1"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5.75" customHeight="1" thickBot="1"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5.75" customHeight="1" thickBot="1"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5.75" customHeight="1" thickBot="1"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5.75" customHeight="1" thickBot="1"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5.75" customHeight="1" thickBot="1"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5.75" customHeight="1" thickBot="1"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5.75" customHeight="1" thickBot="1"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5.75" customHeight="1" thickBot="1"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5.75" customHeight="1" thickBot="1"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5.75" customHeight="1" thickBot="1"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5.75" customHeight="1" thickBot="1"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5.75" customHeight="1" thickBot="1"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5.75" customHeight="1" thickBot="1"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5.75" customHeight="1" thickBot="1"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5.75" customHeight="1" thickBot="1"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5.75" customHeight="1" thickBot="1"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5.75" customHeight="1" thickBot="1"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5.75" customHeight="1" thickBot="1"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5.75" customHeight="1" thickBot="1"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5.75" customHeight="1" thickBot="1"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5.75" customHeight="1" thickBot="1"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5.75" customHeight="1" thickBot="1"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5.75" customHeight="1" thickBot="1"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5.75" customHeight="1" thickBot="1"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5.75" customHeight="1" thickBot="1"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5.75" customHeight="1" thickBot="1"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5.75" customHeight="1" thickBot="1"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5.75" customHeight="1" thickBot="1"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5.75" customHeight="1" thickBot="1"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5.75" customHeight="1" thickBot="1"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5.75" customHeight="1" thickBot="1"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5.75" customHeight="1" thickBot="1"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5.75" customHeight="1" thickBot="1"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5.75" customHeight="1" thickBot="1"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5.75" customHeight="1" thickBot="1"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5.75" customHeight="1" thickBot="1"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5.75" customHeight="1" thickBot="1"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5.75" customHeight="1" thickBot="1"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5.75" customHeight="1" thickBot="1"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5.75" customHeight="1" thickBot="1"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5.75" customHeight="1" thickBot="1"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5.75" customHeight="1" thickBot="1"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5.75" customHeight="1" thickBot="1"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5.75" customHeight="1" thickBot="1"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5.75" customHeight="1" thickBot="1"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5.75" customHeight="1" thickBot="1"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5.75" customHeight="1" thickBot="1"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5.75" customHeight="1" thickBot="1"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5.75" customHeight="1" thickBot="1"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5.75" customHeight="1" thickBot="1"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5.75" customHeight="1" thickBot="1"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5.75" customHeight="1" thickBot="1"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5.75" customHeight="1" thickBot="1"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5.75" customHeight="1" thickBot="1"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5.75" customHeight="1" thickBot="1"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5.75" customHeight="1" thickBot="1"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5.75" customHeight="1" thickBot="1"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5.75" customHeight="1" thickBot="1"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5.75" customHeight="1" thickBot="1"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5.75" customHeight="1" thickBot="1"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5.75" customHeight="1" thickBot="1"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5.75" customHeight="1" thickBot="1"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5.75" customHeight="1" thickBot="1"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5.75" customHeight="1" thickBot="1"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5.75" customHeight="1" thickBot="1"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5.75" customHeight="1" thickBot="1"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5.75" customHeight="1" thickBot="1"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5.75" customHeight="1" thickBot="1"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5.75" customHeight="1" thickBot="1"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5.75" customHeight="1" thickBot="1"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5.75" customHeight="1" thickBot="1"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5.75" customHeight="1" thickBot="1"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5.75" customHeight="1" thickBot="1"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5.75" customHeight="1" thickBot="1"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5.75" customHeight="1" thickBot="1"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5.75" customHeight="1" thickBot="1"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5.75" customHeight="1" thickBot="1"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5.75" customHeight="1" thickBot="1"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5.75" customHeight="1" thickBot="1"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5.75" customHeight="1" thickBot="1"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5.75" customHeight="1" thickBot="1"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5.75" customHeight="1" thickBot="1"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5.75" customHeight="1" thickBot="1"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5.75" customHeight="1" thickBot="1"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5.75" customHeight="1" thickBot="1"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5.75" customHeight="1" thickBot="1"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5.75" customHeight="1" thickBot="1"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5.75" customHeight="1" thickBot="1"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5.75" customHeight="1" thickBot="1"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5.75" customHeight="1" thickBot="1"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5.75" customHeight="1" thickBot="1"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5.75" customHeight="1" thickBot="1"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5.75" customHeight="1" thickBot="1"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5.75" customHeight="1" thickBot="1"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5.75" customHeight="1" thickBot="1"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5.75" customHeight="1" thickBot="1"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5.75" customHeight="1" thickBot="1"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5.75" customHeight="1" thickBot="1"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5.75" customHeight="1" thickBot="1"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5.75" customHeight="1" thickBot="1"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5.75" customHeight="1" thickBot="1"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5.75" customHeight="1" thickBot="1"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5.75" customHeight="1" thickBot="1"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5.75" customHeight="1" thickBot="1"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5.75" customHeight="1" thickBot="1"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5.75" customHeight="1" thickBot="1"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5.75" customHeight="1" thickBot="1"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5.75" customHeight="1" thickBot="1"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5.75" customHeight="1" thickBot="1"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5.75" customHeight="1" thickBot="1"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5.75" customHeight="1" thickBot="1"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5.75" customHeight="1" thickBot="1"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5.75" customHeight="1" thickBot="1"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5.75" customHeight="1" thickBot="1"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5.75" customHeight="1" thickBot="1"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5.75" customHeight="1" thickBot="1"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5.75" customHeight="1" thickBot="1"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5.75" customHeight="1" thickBot="1"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5.75" customHeight="1" thickBot="1"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5.75" customHeight="1" thickBot="1"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5.75" customHeight="1" thickBot="1"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5.75" customHeight="1" thickBot="1"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5.75" customHeight="1" thickBot="1"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5.75" customHeight="1" thickBot="1"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5.75" customHeight="1" thickBot="1"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5.75" customHeight="1" thickBot="1"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5.75" customHeight="1" thickBot="1"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5.75" customHeight="1" thickBot="1"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5.75" customHeight="1" thickBot="1"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5.75" customHeight="1" thickBot="1"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5.75" customHeight="1" thickBot="1"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5.75" customHeight="1" thickBot="1"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5.75" customHeight="1" thickBot="1"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5.75" customHeight="1" thickBot="1"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5.75" customHeight="1" thickBot="1"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5.75" customHeight="1" thickBot="1"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5.75" customHeight="1" thickBot="1"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5.75" customHeight="1" thickBot="1"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5.75" customHeight="1" thickBot="1"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5.75" customHeight="1" thickBot="1"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5.75" customHeight="1" thickBot="1"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5.75" customHeight="1" thickBot="1"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5.75" customHeight="1" thickBot="1"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5.75" customHeight="1" thickBot="1"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5.75" customHeight="1" thickBot="1"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5.75" customHeight="1" thickBot="1"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5.75" customHeight="1" thickBot="1"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5.75" customHeight="1" thickBot="1"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5.75" customHeight="1" thickBot="1"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5.75" customHeight="1" thickBot="1"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5.75" customHeight="1" thickBot="1"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5.75" customHeight="1" thickBot="1"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5.75" customHeight="1" thickBot="1"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5.75" customHeight="1" thickBot="1"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5.75" customHeight="1" thickBot="1"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5.75" customHeight="1" thickBot="1"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5.75" customHeight="1" thickBot="1"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5.75" customHeight="1" thickBot="1"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5.75" customHeight="1" thickBot="1"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5.75" customHeight="1" thickBot="1"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5.75" customHeight="1" thickBot="1"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5.75" customHeight="1" thickBot="1"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5.75" customHeight="1" thickBot="1"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5.75" customHeight="1" thickBot="1"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5.75" customHeight="1" thickBot="1"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5.75" customHeight="1" thickBot="1"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5.75" customHeight="1" thickBot="1"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5.75" customHeight="1" thickBot="1"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5.75" customHeight="1" thickBot="1"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5.75" customHeight="1" thickBot="1"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5.75" customHeight="1" thickBot="1"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5.75" customHeight="1" thickBot="1"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5.75" customHeight="1" thickBot="1"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5.75" customHeight="1" thickBot="1"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5.75" customHeight="1" thickBot="1"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5.75" customHeight="1" thickBot="1"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5.75" customHeight="1" thickBot="1"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5.75" customHeight="1" thickBot="1"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5.75" customHeight="1" thickBot="1"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5.75" customHeight="1" thickBot="1"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5.75" customHeight="1" thickBot="1"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5.75" customHeight="1" thickBot="1"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5.75" customHeight="1" thickBot="1"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5.75" customHeight="1" thickBot="1"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5.75" customHeight="1" thickBot="1"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5.75" customHeight="1" thickBot="1"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5.75" customHeight="1" thickBot="1"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5.75" customHeight="1" thickBot="1"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5.75" customHeight="1" thickBot="1"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5.75" customHeight="1" thickBot="1"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5.75" customHeight="1" thickBot="1"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5.75" customHeight="1" thickBot="1"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5.75" customHeight="1" thickBot="1"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5.75" customHeight="1" thickBot="1"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5.75" customHeight="1" thickBot="1"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5.75" customHeight="1" thickBot="1"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5.75" customHeight="1" thickBot="1"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5.75" customHeight="1" thickBot="1"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5.75" customHeight="1" thickBot="1"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5.75" customHeight="1" thickBot="1"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5.75" customHeight="1" thickBot="1"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5.75" customHeight="1" thickBot="1"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5.75" customHeight="1" thickBot="1"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5.75" customHeight="1" thickBot="1"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5.75" customHeight="1" thickBot="1"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5.75" customHeight="1" thickBot="1"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5.75" customHeight="1" thickBot="1"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5.75" customHeight="1" thickBot="1"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5.75" customHeight="1" thickBot="1"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5.75" customHeight="1" thickBot="1"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5.75" customHeight="1" thickBot="1"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5.75" customHeight="1" thickBot="1"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5.75" customHeight="1" thickBot="1"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5.75" customHeight="1" thickBot="1"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5.75" customHeight="1" thickBot="1"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5.75" customHeight="1" thickBot="1"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5.75" customHeight="1" thickBot="1"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5.75" customHeight="1" thickBot="1"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5.75" customHeight="1" thickBot="1"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5.75" customHeight="1" thickBot="1"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5.75" customHeight="1" thickBot="1"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5.75" customHeight="1" thickBot="1"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5.75" customHeight="1" thickBot="1"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5.75" customHeight="1" thickBot="1"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5.75" customHeight="1" thickBot="1"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5.75" customHeight="1" thickBot="1"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5.75" customHeight="1" thickBot="1"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5.75" customHeight="1" thickBot="1"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5.75" customHeight="1" thickBot="1"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5.75" customHeight="1" thickBot="1"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5.75" customHeight="1" thickBot="1"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5.75" customHeight="1" thickBot="1"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5.75" customHeight="1" thickBot="1"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5.75" customHeight="1" thickBot="1"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5.75" customHeight="1" thickBot="1"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5.75" customHeight="1" thickBot="1"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5.75" customHeight="1" thickBot="1"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5.75" customHeight="1" thickBot="1"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5.75" customHeight="1" thickBot="1"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5.75" customHeight="1" thickBot="1"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5.75" customHeight="1" thickBot="1"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5.75" customHeight="1" thickBot="1"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5.75" customHeight="1" thickBot="1"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5.75" customHeight="1" thickBot="1"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5.75" customHeight="1" thickBot="1"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5.75" customHeight="1" thickBot="1"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5.75" customHeight="1" thickBot="1"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5.75" customHeight="1" thickBot="1"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5.75" customHeight="1" thickBot="1"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5.75" customHeight="1" thickBot="1"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5.75" customHeight="1" thickBot="1"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5.75" customHeight="1" thickBot="1"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5.75" customHeight="1" thickBot="1"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5.75" customHeight="1" thickBot="1"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5.75" customHeight="1" thickBot="1"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5.75" customHeight="1" thickBot="1"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5.75" customHeight="1" thickBot="1"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5.75" customHeight="1" thickBot="1"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5.75" customHeight="1" thickBot="1"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5.75" customHeight="1" thickBot="1"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5.75" customHeight="1" thickBot="1"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5.75" customHeight="1" thickBot="1"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5.75" customHeight="1" thickBot="1"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5.75" customHeight="1" thickBot="1"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5.75" customHeight="1" thickBot="1"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5.75" customHeight="1" thickBot="1"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5.75" customHeight="1" thickBot="1"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5.75" customHeight="1" thickBot="1"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5.75" customHeight="1" thickBot="1"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5.75" customHeight="1" thickBot="1"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5.75" customHeight="1" thickBot="1"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5.75" customHeight="1" thickBot="1"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5.75" customHeight="1" thickBot="1"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5.75" customHeight="1" thickBot="1"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5.75" customHeight="1" thickBot="1"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5.75" customHeight="1" thickBot="1"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5.75" customHeight="1" thickBot="1"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5.75" customHeight="1" thickBot="1"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5.75" customHeight="1" thickBot="1"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5.75" customHeight="1" thickBot="1"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5.75" customHeight="1" thickBot="1"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5.75" customHeight="1" thickBot="1"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5.75" customHeight="1" thickBot="1"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5.75" customHeight="1" thickBot="1"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5.75" customHeight="1" thickBot="1"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5.75" customHeight="1" thickBot="1"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5.75" customHeight="1" thickBot="1"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5.75" customHeight="1" thickBot="1"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5.75" customHeight="1" thickBot="1"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5.75" customHeight="1" thickBot="1"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5.75" customHeight="1" thickBot="1"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5.75" customHeight="1" thickBot="1"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5.75" customHeight="1" thickBot="1"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5.75" customHeight="1" thickBot="1"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5.75" customHeight="1" thickBot="1"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5.75" customHeight="1" thickBot="1"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5.75" customHeight="1" thickBot="1"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5.75" customHeight="1" thickBot="1"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5.75" customHeight="1" thickBot="1"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5.75" customHeight="1" thickBot="1"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5.75" customHeight="1" thickBot="1"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5.75" customHeight="1" thickBot="1"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5.75" customHeight="1" thickBot="1"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5.75" customHeight="1" thickBot="1"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5.75" customHeight="1" thickBot="1"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5.75" customHeight="1" thickBot="1"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5.75" customHeight="1" thickBot="1"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5.75" customHeight="1" thickBot="1"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5.75" customHeight="1" thickBot="1"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5.75" customHeight="1" thickBot="1"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5.75" customHeight="1" thickBot="1"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5.75" customHeight="1" thickBot="1"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5.75" customHeight="1" thickBot="1"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5.75" customHeight="1" thickBot="1"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5.75" customHeight="1" thickBot="1"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5.75" customHeight="1" thickBot="1"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5.75" customHeight="1" thickBot="1"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5.75" customHeight="1" thickBot="1"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5.75" customHeight="1" thickBot="1"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5.75" customHeight="1" thickBot="1"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5.75" customHeight="1" thickBot="1"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5.75" customHeight="1" thickBot="1"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5.75" customHeight="1" thickBot="1"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5.75" customHeight="1" thickBot="1"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5.75" customHeight="1" thickBot="1"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5.75" customHeight="1" thickBot="1"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5.75" customHeight="1" thickBot="1"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5.75" customHeight="1" thickBot="1"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5.75" customHeight="1" thickBot="1"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5.75" customHeight="1" thickBot="1"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5.75" customHeight="1" thickBot="1"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5.75" customHeight="1" thickBot="1"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5.75" customHeight="1" thickBot="1"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5.75" customHeight="1" thickBot="1"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5.75" customHeight="1" thickBot="1"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5.75" customHeight="1" thickBot="1"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5.75" customHeight="1" thickBot="1"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5.75" customHeight="1" thickBot="1"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5.75" customHeight="1" thickBot="1"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5.75" customHeight="1" thickBot="1"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5.75" customHeight="1" thickBot="1"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5.75" customHeight="1" thickBot="1"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5.75" customHeight="1" thickBot="1"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5.75" customHeight="1" thickBot="1"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5.75" customHeight="1" thickBot="1"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5.75" customHeight="1" thickBot="1"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5.75" customHeight="1" thickBot="1"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5.75" customHeight="1" thickBot="1"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5.75" customHeight="1" thickBot="1"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5.75" customHeight="1" thickBot="1"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5.75" customHeight="1" thickBot="1"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5.75" customHeight="1" thickBot="1"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5.75" customHeight="1" thickBot="1"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5.75" customHeight="1" thickBot="1"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5.75" customHeight="1" thickBot="1"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5.75" customHeight="1" thickBot="1"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5.75" customHeight="1" thickBot="1"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5.75" customHeight="1" thickBot="1"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5.75" customHeight="1" thickBot="1"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5.75" customHeight="1" thickBot="1"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5.75" customHeight="1" thickBot="1"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5.75" customHeight="1" thickBot="1"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5.75" customHeight="1" thickBot="1"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5.75" customHeight="1" thickBot="1"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5.75" customHeight="1" thickBot="1"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5.75" customHeight="1" thickBot="1"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5.75" customHeight="1" thickBot="1"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5.75" customHeight="1" thickBot="1"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5.75" customHeight="1" thickBot="1"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5.75" customHeight="1" thickBot="1"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5.75" customHeight="1" thickBot="1"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5.75" customHeight="1" thickBot="1"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5.75" customHeight="1" thickBot="1"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5.75" customHeight="1" thickBot="1"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5.75" customHeight="1" thickBot="1"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5.75" customHeight="1" thickBot="1"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5.75" customHeight="1" thickBot="1"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5.75" customHeight="1" thickBot="1"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5.75" customHeight="1" thickBot="1"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5.75" customHeight="1" thickBot="1"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5.75" customHeight="1" thickBot="1"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5.75" customHeight="1" thickBot="1"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5.75" customHeight="1" thickBot="1"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5.75" customHeight="1" thickBot="1"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5.75" customHeight="1" thickBot="1"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5.75" customHeight="1" thickBot="1"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5.75" customHeight="1" thickBot="1"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5.75" customHeight="1" thickBot="1"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5.75" customHeight="1" thickBot="1"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5.75" customHeight="1" thickBot="1"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5.75" customHeight="1" thickBot="1"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5.75" customHeight="1" thickBot="1"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5.75" customHeight="1" thickBot="1"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5.75" customHeight="1" thickBot="1"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5.75" customHeight="1" thickBot="1"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5.75" customHeight="1" thickBot="1"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5.75" customHeight="1" thickBot="1"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5.75" customHeight="1" thickBot="1"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5.75" customHeight="1" thickBot="1"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5.75" customHeight="1" thickBot="1"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5.75" customHeight="1" thickBot="1"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5.75" customHeight="1" thickBot="1"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5.75" customHeight="1" thickBot="1"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5.75" customHeight="1" thickBot="1"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5.75" customHeight="1" thickBot="1"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5.75" customHeight="1" thickBot="1"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5.75" customHeight="1" thickBot="1"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5.75" customHeight="1" thickBot="1"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5.75" customHeight="1" thickBot="1"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5.75" customHeight="1" thickBot="1"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5.75" customHeight="1" thickBot="1"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5.75" customHeight="1" thickBot="1"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5.75" customHeight="1" thickBot="1"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5.75" customHeight="1" thickBot="1"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5.75" customHeight="1" thickBot="1"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5.75" customHeight="1" thickBot="1"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5.75" customHeight="1" thickBot="1"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5.75" customHeight="1" thickBot="1"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5.75" customHeight="1" thickBot="1"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5.75" customHeight="1" thickBot="1"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5.75" customHeight="1" thickBot="1"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5.75" customHeight="1" thickBot="1"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5.75" customHeight="1" thickBot="1"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5.75" customHeight="1" thickBot="1"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5.75" customHeight="1" thickBot="1"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5.75" customHeight="1" thickBot="1"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5.75" customHeight="1" thickBot="1"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5.75" customHeight="1" thickBot="1"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5.75" customHeight="1" thickBot="1"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5.75" customHeight="1" thickBot="1"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5.75" customHeight="1" thickBot="1"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5.75" customHeight="1" thickBot="1"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5.75" customHeight="1" thickBot="1"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5.75" customHeight="1" thickBot="1"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5.75" customHeight="1" thickBot="1"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5.75" customHeight="1" thickBot="1"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5.75" customHeight="1" thickBot="1"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5.75" customHeight="1" thickBot="1"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5.75" customHeight="1" thickBot="1"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5.75" customHeight="1" thickBot="1"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5.75" customHeight="1" thickBot="1"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5.75" customHeight="1" thickBot="1"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5.75" customHeight="1" thickBot="1"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5.75" customHeight="1" thickBot="1"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5.75" customHeight="1" thickBot="1"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5.75" customHeight="1" thickBot="1"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5.75" customHeight="1" thickBot="1"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5.75" customHeight="1" thickBot="1"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5.75" customHeight="1" thickBot="1"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5.75" customHeight="1" thickBot="1"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5.75" customHeight="1" thickBot="1"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5.75" customHeight="1" thickBot="1"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5.75" customHeight="1" thickBot="1"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5.75" customHeight="1" thickBot="1"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5.75" customHeight="1" thickBot="1"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5.75" customHeight="1" thickBot="1"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5.75" customHeight="1" thickBot="1"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5.75" customHeight="1" thickBot="1"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5.75" customHeight="1" thickBot="1"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5.75" customHeight="1" thickBot="1"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5.75" customHeight="1" thickBot="1"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5.75" customHeight="1" thickBot="1"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5.75" customHeight="1" thickBot="1"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5.75" customHeight="1" thickBot="1"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5.75" customHeight="1" thickBot="1"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5.75" customHeight="1" thickBot="1"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5.75" customHeight="1" thickBot="1"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5.75" customHeight="1" thickBot="1"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5.75" customHeight="1" thickBot="1"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5.75" customHeight="1" thickBot="1"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5.75" customHeight="1" thickBot="1"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5.75" customHeight="1" thickBot="1"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5.75" customHeight="1" thickBot="1"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5.75" customHeight="1" thickBot="1"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5.75" customHeight="1" thickBot="1"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5.75" customHeight="1" thickBot="1"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5.75" customHeight="1" thickBot="1"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5.75" customHeight="1" thickBot="1"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5.75" customHeight="1" thickBot="1"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5.75" customHeight="1" thickBot="1"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5.75" customHeight="1" thickBot="1"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5.75" customHeight="1" thickBot="1"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5.75" customHeight="1" thickBot="1"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5.75" customHeight="1" thickBot="1"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5.75" customHeight="1" thickBot="1"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5.75" customHeight="1" thickBot="1"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5.75" customHeight="1" thickBot="1"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5.75" customHeight="1" thickBot="1"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5.75" customHeight="1" thickBot="1"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5.75" customHeight="1" thickBot="1"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5.75" customHeight="1" thickBot="1"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5.75" customHeight="1" thickBot="1"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5.75" customHeight="1" thickBot="1"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5.75" customHeight="1" thickBot="1"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5.75" customHeight="1" thickBot="1"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5.75" customHeight="1" thickBot="1"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5.75" customHeight="1" thickBot="1"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5.75" customHeight="1" thickBot="1"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5.75" customHeight="1" thickBot="1"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5.75" customHeight="1" thickBot="1"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5.75" customHeight="1" thickBot="1"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5.75" customHeight="1" thickBot="1"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5.75" customHeight="1" thickBot="1"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5.75" customHeight="1" thickBot="1"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5.75" customHeight="1" thickBot="1"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5.75" customHeight="1" thickBot="1"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5.75" customHeight="1" thickBot="1"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5.75" customHeight="1" thickBot="1"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5.75" customHeight="1" thickBot="1"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5.75" customHeight="1" thickBot="1"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5.75" customHeight="1" thickBot="1"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5.75" customHeight="1" thickBot="1"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5.75" customHeight="1" thickBot="1"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5.75" customHeight="1" thickBot="1"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5.75" customHeight="1" thickBot="1"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5.75" customHeight="1" thickBot="1"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5.75" customHeight="1" thickBot="1"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5.75" customHeight="1" thickBot="1"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5.75" customHeight="1" thickBot="1"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5.75" customHeight="1" thickBot="1"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5.75" customHeight="1" thickBot="1"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5.75" customHeight="1" thickBot="1"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5.75" customHeight="1" thickBot="1"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5.75" customHeight="1" thickBot="1"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5.75" customHeight="1" thickBot="1"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5.75" customHeight="1" thickBot="1"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5.75" customHeight="1" thickBot="1"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5.75" customHeight="1" thickBot="1"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5.75" customHeight="1" thickBot="1"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5.75" customHeight="1" thickBot="1"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5.75" customHeight="1" thickBot="1"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5.75" customHeight="1" thickBot="1"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5.75" customHeight="1" thickBot="1"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5.75" customHeight="1" thickBot="1"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5.75" customHeight="1" thickBot="1"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5.75" customHeight="1" thickBot="1"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5.75" customHeight="1" thickBot="1"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5.75" customHeight="1" thickBot="1"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5.75" customHeight="1" thickBot="1"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5.75" customHeight="1" thickBot="1"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5.75" customHeight="1" thickBot="1"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5.75" customHeight="1" thickBot="1"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5.75" customHeight="1" thickBot="1"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5.75" customHeight="1" thickBot="1"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5.75" customHeight="1" thickBot="1"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5.75" customHeight="1" thickBot="1"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5.75" customHeight="1" thickBot="1"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5.75" customHeight="1" thickBot="1"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5.75" customHeight="1" thickBot="1"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5.75" customHeight="1" thickBot="1"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5.75" customHeight="1" thickBot="1"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5.75" customHeight="1" thickBot="1"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5.75" customHeight="1" thickBot="1"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5.75" customHeight="1" thickBot="1"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5.75" customHeight="1" thickBot="1"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5.75" customHeight="1" thickBot="1"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5.75" customHeight="1" thickBot="1"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5.75" customHeight="1" thickBot="1"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5.75" customHeight="1" thickBot="1"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5.75" customHeight="1" thickBot="1"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5.75" customHeight="1" thickBot="1"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5.75" customHeight="1" thickBot="1"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5.75" customHeight="1" thickBot="1"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5.75" customHeight="1" thickBot="1"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5.75" customHeight="1" thickBot="1"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5.75" customHeight="1" thickBot="1"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5.75" customHeight="1" thickBot="1"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5.75" customHeight="1" thickBot="1"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5.75" customHeight="1" thickBot="1"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5.75" customHeight="1" thickBot="1"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5.75" customHeight="1" thickBot="1"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5.75" customHeight="1" thickBot="1"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5.75" customHeight="1" thickBot="1"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5.75" customHeight="1" thickBot="1"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5.75" customHeight="1" thickBot="1"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5.75" customHeight="1" thickBot="1"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5.75" customHeight="1" thickBot="1"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5.75" customHeight="1" thickBot="1"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5.75" customHeight="1" thickBot="1"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5.75" customHeight="1" thickBot="1"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5.75" customHeight="1" thickBot="1"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5.75" customHeight="1" thickBot="1"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5.75" customHeight="1" thickBot="1"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5.75" customHeight="1" thickBot="1"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5.75" customHeight="1" thickBot="1"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5.75" customHeight="1" thickBot="1"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5.75" customHeight="1" thickBot="1"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5.75" customHeight="1" thickBot="1"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5.75" customHeight="1" thickBot="1"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5.75" customHeight="1" thickBot="1"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5.75" customHeight="1" thickBot="1"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5.75" customHeight="1" thickBot="1"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5.75" customHeight="1" thickBot="1"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5.75" customHeight="1" thickBot="1"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5.75" customHeight="1" thickBot="1"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5.75" customHeight="1" thickBot="1"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5.75" customHeight="1" thickBot="1"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5.75" customHeight="1" thickBot="1"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5.75" customHeight="1" thickBot="1"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5.75" customHeight="1" thickBot="1"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5.75" customHeight="1" thickBot="1"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5.75" customHeight="1" thickBot="1"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5.75" customHeight="1" thickBot="1"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5.75" customHeight="1" thickBot="1"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5.75" customHeight="1" thickBot="1"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5.75" customHeight="1" thickBot="1"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5.75" customHeight="1" thickBot="1"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5.75" customHeight="1" thickBot="1"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5.75" customHeight="1" thickBot="1"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5.75" customHeight="1" thickBot="1"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5.75" customHeight="1" thickBot="1"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5.75" customHeight="1" thickBot="1"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5.75" customHeight="1" thickBot="1"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5.75" customHeight="1" thickBot="1"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5.75" customHeight="1" thickBot="1"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5.75" customHeight="1" thickBot="1"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5.75" customHeight="1" thickBot="1"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5.75" customHeight="1" thickBot="1"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5.75" customHeight="1" thickBot="1"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5.75" customHeight="1" thickBot="1"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5.75" customHeight="1" thickBot="1"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5.75" customHeight="1" thickBot="1"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5.75" customHeight="1" thickBot="1"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5.75" customHeight="1" thickBot="1"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5.75" customHeight="1" thickBot="1"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5.75" customHeight="1" thickBot="1"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5.75" customHeight="1" thickBot="1"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5.75" customHeight="1" thickBot="1"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5.75" customHeight="1" thickBot="1"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5.75" customHeight="1" thickBot="1"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5.75" customHeight="1" thickBot="1"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5.75" customHeight="1" thickBot="1"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5.75" customHeight="1" thickBot="1"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5.75" customHeight="1" thickBot="1"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5.75" customHeight="1" thickBot="1"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5.75" customHeight="1" thickBot="1"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5.75" customHeight="1" thickBot="1"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5.75" customHeight="1" thickBot="1"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5.75" customHeight="1" thickBot="1"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5.75" customHeight="1" thickBot="1"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5.75" customHeight="1" thickBot="1"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5.75" customHeight="1" thickBot="1"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5.75" customHeight="1" thickBot="1"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5.75" customHeight="1" thickBot="1"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5.75" customHeight="1" thickBot="1"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5.75" customHeight="1" thickBot="1"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5.75" customHeight="1" thickBot="1"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5.75" customHeight="1" thickBot="1"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5.75" customHeight="1" thickBot="1"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5.75" customHeight="1" thickBot="1"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5.75" customHeight="1" thickBot="1"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5.75" customHeight="1" thickBot="1"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5.75" customHeight="1" thickBot="1"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5.75" customHeight="1" thickBot="1"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5.75" customHeight="1" thickBot="1"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5.75" customHeight="1" thickBot="1"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5.75" customHeight="1" thickBot="1"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5.75" customHeight="1" thickBot="1"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5.75" customHeight="1" thickBot="1"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5.75" customHeight="1" thickBot="1"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5.75" customHeight="1" thickBot="1"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5.75" customHeight="1" thickBot="1"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5.75" customHeight="1" thickBot="1"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5.75" customHeight="1" thickBot="1"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5.75" customHeight="1" thickBot="1"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5.75" customHeight="1" thickBot="1"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5.75" customHeight="1" thickBot="1"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5.75" customHeight="1" thickBot="1"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5.75" customHeight="1" thickBot="1"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5.75" customHeight="1" thickBot="1"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5.75" customHeight="1" thickBot="1"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5.75" customHeight="1" thickBot="1"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5.75" customHeight="1" thickBot="1"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5.75" customHeight="1" thickBot="1"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5.75" customHeight="1" thickBot="1"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5.75" customHeight="1" thickBot="1"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5.75" customHeight="1" thickBot="1"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5.75" customHeight="1" thickBot="1"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5.75" customHeight="1" thickBot="1"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5.75" customHeight="1" thickBot="1"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5.75" customHeight="1" thickBot="1"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5.75" customHeight="1" thickBot="1"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5.75" customHeight="1" thickBot="1"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5.75" customHeight="1" thickBot="1"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5.75" customHeight="1" thickBot="1"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5.75" customHeight="1" thickBot="1"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5.75" customHeight="1" thickBot="1"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5.75" customHeight="1" thickBot="1"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5.75" customHeight="1" thickBot="1"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5.75" customHeight="1" thickBot="1"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5.75" customHeight="1" thickBot="1"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5.75" customHeight="1" thickBot="1"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5" customHeight="1" thickBot="1"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5" customHeight="1" thickBot="1"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5" customHeight="1" thickBot="1"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5" customHeight="1" thickBot="1"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5" customHeight="1" thickBot="1"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5" customHeight="1" thickBot="1"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5" customHeight="1" thickBot="1"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5" customHeight="1" thickBot="1"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5" customHeight="1" thickBot="1"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5" customHeight="1" thickBot="1"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5" customHeight="1" thickBot="1"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5" customHeight="1" thickBot="1"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5" customHeight="1" thickBot="1"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5" customHeight="1" thickBot="1"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5" customHeight="1" thickBot="1" x14ac:dyDescent="0.2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5" customHeight="1" thickBot="1" x14ac:dyDescent="0.2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5" customHeight="1" thickBot="1" x14ac:dyDescent="0.2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5" customHeight="1" thickBot="1" x14ac:dyDescent="0.2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5" customHeight="1" thickBot="1" x14ac:dyDescent="0.2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5" customHeight="1" thickBot="1" x14ac:dyDescent="0.2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5" customHeight="1" thickBot="1" x14ac:dyDescent="0.2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5" customHeight="1" thickBot="1" x14ac:dyDescent="0.2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5" customHeight="1" thickBot="1" x14ac:dyDescent="0.2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5" customHeight="1" thickBot="1" x14ac:dyDescent="0.25">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5" customHeight="1" thickBot="1" x14ac:dyDescent="0.25">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5" customHeight="1" thickBot="1" x14ac:dyDescent="0.25">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5" customHeight="1" thickBot="1" x14ac:dyDescent="0.25">
      <c r="A1003" s="7"/>
      <c r="B1003" s="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row r="1004" spans="1:26" ht="15" customHeight="1" thickBot="1" x14ac:dyDescent="0.25">
      <c r="A1004" s="7"/>
      <c r="B1004" s="7"/>
      <c r="C1004" s="7"/>
      <c r="D1004" s="7"/>
      <c r="E1004" s="7"/>
      <c r="F1004" s="7"/>
      <c r="G1004" s="7"/>
      <c r="H1004" s="7"/>
      <c r="I1004" s="7"/>
      <c r="J1004" s="7"/>
      <c r="K1004" s="7"/>
      <c r="L1004" s="7"/>
      <c r="M1004" s="7"/>
      <c r="N1004" s="7"/>
      <c r="O1004" s="7"/>
      <c r="P1004" s="7"/>
      <c r="Q1004" s="7"/>
      <c r="R1004" s="7"/>
      <c r="S1004" s="7"/>
      <c r="T1004" s="7"/>
      <c r="U1004" s="7"/>
      <c r="V1004" s="7"/>
      <c r="W1004" s="7"/>
      <c r="X1004" s="7"/>
      <c r="Y1004" s="7"/>
      <c r="Z1004" s="7"/>
    </row>
    <row r="1005" spans="1:26" ht="15" customHeight="1" thickBot="1" x14ac:dyDescent="0.25">
      <c r="A1005" s="7"/>
      <c r="B1005" s="7"/>
      <c r="C1005" s="7"/>
      <c r="D1005" s="7"/>
      <c r="E1005" s="7"/>
      <c r="F1005" s="7"/>
      <c r="G1005" s="7"/>
      <c r="H1005" s="7"/>
      <c r="I1005" s="7"/>
      <c r="J1005" s="7"/>
      <c r="K1005" s="7"/>
      <c r="L1005" s="7"/>
      <c r="M1005" s="7"/>
      <c r="N1005" s="7"/>
      <c r="O1005" s="7"/>
      <c r="P1005" s="7"/>
      <c r="Q1005" s="7"/>
      <c r="R1005" s="7"/>
      <c r="S1005" s="7"/>
      <c r="T1005" s="7"/>
      <c r="U1005" s="7"/>
      <c r="V1005" s="7"/>
      <c r="W1005" s="7"/>
      <c r="X1005" s="7"/>
      <c r="Y1005" s="7"/>
      <c r="Z1005" s="7"/>
    </row>
    <row r="1006" spans="1:26" ht="15" customHeight="1" thickBot="1" x14ac:dyDescent="0.25">
      <c r="A1006" s="7"/>
      <c r="B1006" s="7"/>
      <c r="C1006" s="7"/>
      <c r="D1006" s="7"/>
      <c r="E1006" s="7"/>
      <c r="F1006" s="7"/>
      <c r="G1006" s="7"/>
      <c r="H1006" s="7"/>
      <c r="I1006" s="7"/>
      <c r="J1006" s="7"/>
      <c r="K1006" s="7"/>
      <c r="L1006" s="7"/>
      <c r="M1006" s="7"/>
      <c r="N1006" s="7"/>
      <c r="O1006" s="7"/>
      <c r="P1006" s="7"/>
      <c r="Q1006" s="7"/>
      <c r="R1006" s="7"/>
      <c r="S1006" s="7"/>
      <c r="T1006" s="7"/>
      <c r="U1006" s="7"/>
      <c r="V1006" s="7"/>
      <c r="W1006" s="7"/>
      <c r="X1006" s="7"/>
      <c r="Y1006" s="7"/>
      <c r="Z1006" s="7"/>
    </row>
    <row r="1007" spans="1:26" ht="15" customHeight="1" thickBot="1" x14ac:dyDescent="0.25">
      <c r="A1007" s="7"/>
      <c r="B1007" s="7"/>
      <c r="C1007" s="7"/>
      <c r="D1007" s="7"/>
      <c r="E1007" s="7"/>
      <c r="F1007" s="7"/>
      <c r="G1007" s="7"/>
      <c r="H1007" s="7"/>
      <c r="I1007" s="7"/>
      <c r="J1007" s="7"/>
      <c r="K1007" s="7"/>
      <c r="L1007" s="7"/>
      <c r="M1007" s="7"/>
      <c r="N1007" s="7"/>
      <c r="O1007" s="7"/>
      <c r="P1007" s="7"/>
      <c r="Q1007" s="7"/>
      <c r="R1007" s="7"/>
      <c r="S1007" s="7"/>
      <c r="T1007" s="7"/>
      <c r="U1007" s="7"/>
      <c r="V1007" s="7"/>
      <c r="W1007" s="7"/>
      <c r="X1007" s="7"/>
      <c r="Y1007" s="7"/>
      <c r="Z1007" s="7"/>
    </row>
    <row r="1008" spans="1:26" ht="15" customHeight="1" thickBot="1" x14ac:dyDescent="0.25">
      <c r="A1008" s="7"/>
      <c r="B1008" s="7"/>
      <c r="C1008" s="7"/>
      <c r="D1008" s="7"/>
      <c r="E1008" s="7"/>
      <c r="F1008" s="7"/>
      <c r="G1008" s="7"/>
      <c r="H1008" s="7"/>
      <c r="I1008" s="7"/>
      <c r="J1008" s="7"/>
      <c r="K1008" s="7"/>
      <c r="L1008" s="7"/>
      <c r="M1008" s="7"/>
      <c r="N1008" s="7"/>
      <c r="O1008" s="7"/>
      <c r="P1008" s="7"/>
      <c r="Q1008" s="7"/>
      <c r="R1008" s="7"/>
      <c r="S1008" s="7"/>
      <c r="T1008" s="7"/>
      <c r="U1008" s="7"/>
      <c r="V1008" s="7"/>
      <c r="W1008" s="7"/>
      <c r="X1008" s="7"/>
      <c r="Y1008" s="7"/>
      <c r="Z1008" s="7"/>
    </row>
    <row r="1009" spans="1:26" ht="15" customHeight="1" thickBot="1" x14ac:dyDescent="0.25">
      <c r="A1009" s="7"/>
      <c r="B1009" s="7"/>
      <c r="C1009" s="7"/>
      <c r="D1009" s="7"/>
      <c r="E1009" s="7"/>
      <c r="F1009" s="7"/>
      <c r="G1009" s="7"/>
      <c r="H1009" s="7"/>
      <c r="I1009" s="7"/>
      <c r="J1009" s="7"/>
      <c r="K1009" s="7"/>
      <c r="L1009" s="7"/>
      <c r="M1009" s="7"/>
      <c r="N1009" s="7"/>
      <c r="O1009" s="7"/>
      <c r="P1009" s="7"/>
      <c r="Q1009" s="7"/>
      <c r="R1009" s="7"/>
      <c r="S1009" s="7"/>
      <c r="T1009" s="7"/>
      <c r="U1009" s="7"/>
      <c r="V1009" s="7"/>
      <c r="W1009" s="7"/>
      <c r="X1009" s="7"/>
      <c r="Y1009" s="7"/>
      <c r="Z1009" s="7"/>
    </row>
    <row r="1010" spans="1:26" ht="15" customHeight="1" thickBot="1" x14ac:dyDescent="0.25">
      <c r="A1010" s="7"/>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row>
    <row r="1011" spans="1:26" ht="15" customHeight="1" thickBot="1" x14ac:dyDescent="0.25">
      <c r="A1011" s="7"/>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row>
    <row r="1012" spans="1:26" ht="15" customHeight="1" thickBot="1" x14ac:dyDescent="0.25">
      <c r="A1012" s="7"/>
      <c r="B1012" s="7"/>
      <c r="C1012" s="7"/>
      <c r="D1012" s="7"/>
      <c r="E1012" s="7"/>
      <c r="F1012" s="7"/>
      <c r="G1012" s="7"/>
      <c r="H1012" s="7"/>
      <c r="I1012" s="7"/>
      <c r="J1012" s="7"/>
      <c r="K1012" s="7"/>
      <c r="L1012" s="7"/>
      <c r="M1012" s="7"/>
      <c r="N1012" s="7"/>
      <c r="O1012" s="7"/>
      <c r="P1012" s="7"/>
      <c r="Q1012" s="7"/>
      <c r="R1012" s="7"/>
      <c r="S1012" s="7"/>
      <c r="T1012" s="7"/>
      <c r="U1012" s="7"/>
      <c r="V1012" s="7"/>
      <c r="W1012" s="7"/>
      <c r="X1012" s="7"/>
      <c r="Y1012" s="7"/>
      <c r="Z1012" s="7"/>
    </row>
    <row r="1013" spans="1:26" ht="15" customHeight="1" thickBot="1" x14ac:dyDescent="0.25">
      <c r="A1013" s="7"/>
      <c r="B1013" s="7"/>
      <c r="C1013" s="7"/>
      <c r="D1013" s="7"/>
      <c r="E1013" s="7"/>
      <c r="F1013" s="7"/>
      <c r="G1013" s="7"/>
      <c r="H1013" s="7"/>
      <c r="I1013" s="7"/>
      <c r="J1013" s="7"/>
      <c r="K1013" s="7"/>
      <c r="L1013" s="7"/>
      <c r="M1013" s="7"/>
      <c r="N1013" s="7"/>
      <c r="O1013" s="7"/>
      <c r="P1013" s="7"/>
      <c r="Q1013" s="7"/>
      <c r="R1013" s="7"/>
      <c r="S1013" s="7"/>
      <c r="T1013" s="7"/>
      <c r="U1013" s="7"/>
      <c r="V1013" s="7"/>
      <c r="W1013" s="7"/>
      <c r="X1013" s="7"/>
      <c r="Y1013" s="7"/>
      <c r="Z1013" s="7"/>
    </row>
    <row r="1014" spans="1:26" ht="15" customHeight="1" thickBot="1" x14ac:dyDescent="0.25">
      <c r="A1014" s="7"/>
      <c r="B1014" s="7"/>
      <c r="C1014" s="7"/>
      <c r="D1014" s="7"/>
      <c r="E1014" s="7"/>
      <c r="F1014" s="7"/>
      <c r="G1014" s="7"/>
      <c r="H1014" s="7"/>
      <c r="I1014" s="7"/>
      <c r="J1014" s="7"/>
      <c r="K1014" s="7"/>
      <c r="L1014" s="7"/>
      <c r="M1014" s="7"/>
      <c r="N1014" s="7"/>
      <c r="O1014" s="7"/>
      <c r="P1014" s="7"/>
      <c r="Q1014" s="7"/>
      <c r="R1014" s="7"/>
      <c r="S1014" s="7"/>
      <c r="T1014" s="7"/>
      <c r="U1014" s="7"/>
      <c r="V1014" s="7"/>
      <c r="W1014" s="7"/>
      <c r="X1014" s="7"/>
      <c r="Y1014" s="7"/>
      <c r="Z1014" s="7"/>
    </row>
    <row r="1015" spans="1:26" ht="15" customHeight="1" thickBot="1" x14ac:dyDescent="0.25">
      <c r="A1015" s="7"/>
      <c r="B1015" s="7"/>
      <c r="C1015" s="7"/>
      <c r="D1015" s="7"/>
      <c r="E1015" s="7"/>
      <c r="F1015" s="7"/>
      <c r="G1015" s="7"/>
      <c r="H1015" s="7"/>
      <c r="I1015" s="7"/>
      <c r="J1015" s="7"/>
      <c r="K1015" s="7"/>
      <c r="L1015" s="7"/>
      <c r="M1015" s="7"/>
      <c r="N1015" s="7"/>
      <c r="O1015" s="7"/>
      <c r="P1015" s="7"/>
      <c r="Q1015" s="7"/>
      <c r="R1015" s="7"/>
      <c r="S1015" s="7"/>
      <c r="T1015" s="7"/>
      <c r="U1015" s="7"/>
      <c r="V1015" s="7"/>
      <c r="W1015" s="7"/>
      <c r="X1015" s="7"/>
      <c r="Y1015" s="7"/>
      <c r="Z1015" s="7"/>
    </row>
    <row r="1016" spans="1:26" ht="15" customHeight="1" thickBot="1" x14ac:dyDescent="0.25">
      <c r="A1016" s="7"/>
      <c r="B1016" s="7"/>
      <c r="C1016" s="7"/>
      <c r="D1016" s="7"/>
      <c r="E1016" s="7"/>
      <c r="F1016" s="7"/>
      <c r="G1016" s="7"/>
      <c r="H1016" s="7"/>
      <c r="I1016" s="7"/>
      <c r="J1016" s="7"/>
      <c r="K1016" s="7"/>
      <c r="L1016" s="7"/>
      <c r="M1016" s="7"/>
      <c r="N1016" s="7"/>
      <c r="O1016" s="7"/>
      <c r="P1016" s="7"/>
      <c r="Q1016" s="7"/>
      <c r="R1016" s="7"/>
      <c r="S1016" s="7"/>
      <c r="T1016" s="7"/>
      <c r="U1016" s="7"/>
      <c r="V1016" s="7"/>
      <c r="W1016" s="7"/>
      <c r="X1016" s="7"/>
      <c r="Y1016" s="7"/>
      <c r="Z1016" s="7"/>
    </row>
    <row r="1017" spans="1:26" ht="15" customHeight="1" thickBot="1" x14ac:dyDescent="0.25">
      <c r="A1017" s="7"/>
      <c r="B1017" s="7"/>
      <c r="C1017" s="7"/>
      <c r="D1017" s="7"/>
      <c r="E1017" s="7"/>
      <c r="F1017" s="7"/>
      <c r="G1017" s="7"/>
      <c r="H1017" s="7"/>
      <c r="I1017" s="7"/>
      <c r="J1017" s="7"/>
      <c r="K1017" s="7"/>
      <c r="L1017" s="7"/>
      <c r="M1017" s="7"/>
      <c r="N1017" s="7"/>
      <c r="O1017" s="7"/>
      <c r="P1017" s="7"/>
      <c r="Q1017" s="7"/>
      <c r="R1017" s="7"/>
      <c r="S1017" s="7"/>
      <c r="T1017" s="7"/>
      <c r="U1017" s="7"/>
      <c r="V1017" s="7"/>
      <c r="W1017" s="7"/>
      <c r="X1017" s="7"/>
      <c r="Y1017" s="7"/>
      <c r="Z1017" s="7"/>
    </row>
    <row r="1018" spans="1:26" ht="15" customHeight="1" thickBot="1" x14ac:dyDescent="0.25">
      <c r="A1018" s="7"/>
      <c r="B1018" s="7"/>
      <c r="C1018" s="7"/>
      <c r="D1018" s="7"/>
      <c r="E1018" s="7"/>
      <c r="F1018" s="7"/>
      <c r="G1018" s="7"/>
      <c r="H1018" s="7"/>
      <c r="I1018" s="7"/>
      <c r="J1018" s="7"/>
      <c r="K1018" s="7"/>
      <c r="L1018" s="7"/>
      <c r="M1018" s="7"/>
      <c r="N1018" s="7"/>
      <c r="O1018" s="7"/>
      <c r="P1018" s="7"/>
      <c r="Q1018" s="7"/>
      <c r="R1018" s="7"/>
      <c r="S1018" s="7"/>
      <c r="T1018" s="7"/>
      <c r="U1018" s="7"/>
      <c r="V1018" s="7"/>
      <c r="W1018" s="7"/>
      <c r="X1018" s="7"/>
      <c r="Y1018" s="7"/>
      <c r="Z1018" s="7"/>
    </row>
    <row r="1019" spans="1:26" ht="15" customHeight="1" thickBot="1" x14ac:dyDescent="0.25">
      <c r="A1019" s="7"/>
      <c r="B1019" s="7"/>
      <c r="C1019" s="7"/>
      <c r="D1019" s="7"/>
      <c r="E1019" s="7"/>
      <c r="F1019" s="7"/>
      <c r="G1019" s="7"/>
      <c r="H1019" s="7"/>
      <c r="I1019" s="7"/>
      <c r="J1019" s="7"/>
      <c r="K1019" s="7"/>
      <c r="L1019" s="7"/>
      <c r="M1019" s="7"/>
      <c r="N1019" s="7"/>
      <c r="O1019" s="7"/>
      <c r="P1019" s="7"/>
      <c r="Q1019" s="7"/>
      <c r="R1019" s="7"/>
      <c r="S1019" s="7"/>
      <c r="T1019" s="7"/>
      <c r="U1019" s="7"/>
      <c r="V1019" s="7"/>
      <c r="W1019" s="7"/>
      <c r="X1019" s="7"/>
      <c r="Y1019" s="7"/>
      <c r="Z1019" s="7"/>
    </row>
    <row r="1020" spans="1:26" ht="15" customHeight="1" thickBot="1" x14ac:dyDescent="0.25">
      <c r="A1020" s="7"/>
      <c r="B1020" s="7"/>
      <c r="C1020" s="7"/>
      <c r="D1020" s="7"/>
      <c r="E1020" s="7"/>
      <c r="F1020" s="7"/>
      <c r="G1020" s="7"/>
      <c r="H1020" s="7"/>
      <c r="I1020" s="7"/>
      <c r="J1020" s="7"/>
      <c r="K1020" s="7"/>
      <c r="L1020" s="7"/>
      <c r="M1020" s="7"/>
      <c r="N1020" s="7"/>
      <c r="O1020" s="7"/>
      <c r="P1020" s="7"/>
      <c r="Q1020" s="7"/>
      <c r="R1020" s="7"/>
      <c r="S1020" s="7"/>
      <c r="T1020" s="7"/>
      <c r="U1020" s="7"/>
      <c r="V1020" s="7"/>
      <c r="W1020" s="7"/>
      <c r="X1020" s="7"/>
      <c r="Y1020" s="7"/>
      <c r="Z1020" s="7"/>
    </row>
  </sheetData>
  <mergeCells count="4">
    <mergeCell ref="L23:O23"/>
    <mergeCell ref="L20:O20"/>
    <mergeCell ref="L21:O21"/>
    <mergeCell ref="L22:O22"/>
  </mergeCells>
  <phoneticPr fontId="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990"/>
  <sheetViews>
    <sheetView topLeftCell="A82" zoomScale="60" zoomScaleNormal="60" workbookViewId="0">
      <selection activeCell="V99" sqref="V99"/>
    </sheetView>
  </sheetViews>
  <sheetFormatPr baseColWidth="10" defaultColWidth="12.5703125" defaultRowHeight="15" customHeight="1" x14ac:dyDescent="0.2"/>
  <cols>
    <col min="1" max="1" width="12.5703125" customWidth="1"/>
    <col min="2" max="2" width="24.7109375" customWidth="1"/>
    <col min="3" max="3" width="12.5703125" customWidth="1"/>
    <col min="4" max="4" width="11.140625" customWidth="1"/>
    <col min="5" max="8" width="12.5703125" customWidth="1"/>
  </cols>
  <sheetData>
    <row r="1" spans="1:22" ht="15.75" hidden="1" customHeight="1" x14ac:dyDescent="0.2"/>
    <row r="2" spans="1:22" ht="15.75" hidden="1" customHeight="1" x14ac:dyDescent="0.2">
      <c r="A2" s="57" t="s">
        <v>163</v>
      </c>
      <c r="B2" s="57"/>
      <c r="C2" s="57"/>
      <c r="D2" s="57"/>
      <c r="E2" s="57"/>
      <c r="F2" s="57"/>
      <c r="G2" s="57"/>
      <c r="H2" s="57"/>
      <c r="I2" s="57"/>
      <c r="J2" s="57"/>
      <c r="K2" s="57"/>
      <c r="L2" s="57"/>
      <c r="M2" s="57"/>
      <c r="N2" s="57"/>
      <c r="O2" s="57"/>
      <c r="P2" s="57"/>
      <c r="Q2" s="57"/>
      <c r="R2" s="57"/>
      <c r="S2" s="57"/>
      <c r="T2" s="57"/>
      <c r="U2" s="57"/>
      <c r="V2" s="57"/>
    </row>
    <row r="3" spans="1:22" ht="15.75" hidden="1" customHeight="1" x14ac:dyDescent="0.2">
      <c r="A3" s="57"/>
      <c r="B3" s="57"/>
      <c r="C3" s="57"/>
      <c r="D3" s="57"/>
      <c r="E3" s="57"/>
      <c r="F3" s="57"/>
      <c r="G3" s="57"/>
      <c r="H3" s="57"/>
      <c r="I3" s="57"/>
      <c r="J3" s="57"/>
      <c r="K3" s="57"/>
      <c r="L3" s="57"/>
      <c r="M3" s="57"/>
      <c r="N3" s="57"/>
      <c r="O3" s="57"/>
      <c r="P3" s="57"/>
      <c r="Q3" s="57"/>
      <c r="R3" s="57"/>
      <c r="S3" s="57"/>
      <c r="T3" s="57"/>
      <c r="U3" s="57"/>
      <c r="V3" s="57"/>
    </row>
    <row r="4" spans="1:22" ht="15.75" hidden="1" customHeight="1" x14ac:dyDescent="0.2"/>
    <row r="5" spans="1:22" ht="15.75" hidden="1" customHeight="1" x14ac:dyDescent="0.2"/>
    <row r="6" spans="1:22" ht="15.75" hidden="1" customHeight="1" thickBot="1" x14ac:dyDescent="0.25">
      <c r="B6" s="1"/>
      <c r="C6" s="1" t="s">
        <v>17</v>
      </c>
      <c r="D6" s="1" t="s">
        <v>21</v>
      </c>
      <c r="E6" s="1" t="s">
        <v>22</v>
      </c>
      <c r="F6" s="1" t="s">
        <v>23</v>
      </c>
      <c r="G6" s="1" t="s">
        <v>24</v>
      </c>
      <c r="H6" s="1" t="s">
        <v>25</v>
      </c>
      <c r="I6" s="1" t="s">
        <v>26</v>
      </c>
      <c r="J6" s="1" t="s">
        <v>27</v>
      </c>
      <c r="K6" s="1" t="s">
        <v>28</v>
      </c>
    </row>
    <row r="7" spans="1:22" ht="15.75" hidden="1" customHeight="1" thickBot="1" x14ac:dyDescent="0.25">
      <c r="B7" s="12" t="s">
        <v>18</v>
      </c>
      <c r="C7" s="6">
        <v>4</v>
      </c>
      <c r="D7">
        <v>0</v>
      </c>
      <c r="E7">
        <v>0</v>
      </c>
      <c r="F7">
        <v>1</v>
      </c>
      <c r="G7">
        <v>0</v>
      </c>
      <c r="H7">
        <v>1</v>
      </c>
      <c r="I7">
        <v>1</v>
      </c>
      <c r="J7">
        <v>1</v>
      </c>
      <c r="K7" s="5">
        <f>+D7+E7+F7+G7+H7+I7+J7</f>
        <v>4</v>
      </c>
    </row>
    <row r="8" spans="1:22" ht="15.75" hidden="1" customHeight="1" thickBot="1" x14ac:dyDescent="0.25">
      <c r="B8" s="12" t="s">
        <v>19</v>
      </c>
      <c r="C8" s="6">
        <v>2</v>
      </c>
      <c r="D8">
        <v>0</v>
      </c>
      <c r="E8">
        <v>0</v>
      </c>
      <c r="F8">
        <v>0</v>
      </c>
      <c r="G8">
        <v>1</v>
      </c>
      <c r="H8">
        <v>0</v>
      </c>
      <c r="I8">
        <v>0</v>
      </c>
      <c r="J8">
        <v>1</v>
      </c>
      <c r="K8" s="5">
        <f t="shared" ref="K8:K10" si="0">+D8+E8+F8+G8+H8+I8+J8</f>
        <v>2</v>
      </c>
    </row>
    <row r="9" spans="1:22" ht="15.75" hidden="1" customHeight="1" thickBot="1" x14ac:dyDescent="0.25">
      <c r="A9" s="1"/>
      <c r="B9" s="12" t="s">
        <v>20</v>
      </c>
      <c r="C9" s="6">
        <v>3</v>
      </c>
      <c r="D9">
        <v>1</v>
      </c>
      <c r="E9">
        <v>0</v>
      </c>
      <c r="F9">
        <v>0</v>
      </c>
      <c r="G9">
        <v>0</v>
      </c>
      <c r="H9">
        <v>0</v>
      </c>
      <c r="I9">
        <v>0</v>
      </c>
      <c r="J9">
        <v>2</v>
      </c>
      <c r="K9" s="5">
        <f t="shared" si="0"/>
        <v>3</v>
      </c>
    </row>
    <row r="10" spans="1:22" ht="15.75" hidden="1" customHeight="1" thickBot="1" x14ac:dyDescent="0.25">
      <c r="A10" s="1"/>
      <c r="B10" s="14" t="s">
        <v>31</v>
      </c>
      <c r="C10" s="6">
        <v>1</v>
      </c>
      <c r="D10">
        <v>0</v>
      </c>
      <c r="E10">
        <v>0</v>
      </c>
      <c r="F10">
        <v>0</v>
      </c>
      <c r="G10">
        <v>0</v>
      </c>
      <c r="H10">
        <v>0</v>
      </c>
      <c r="I10">
        <v>0</v>
      </c>
      <c r="J10">
        <v>1</v>
      </c>
      <c r="K10" s="5">
        <f t="shared" si="0"/>
        <v>1</v>
      </c>
    </row>
    <row r="11" spans="1:22" ht="15.75" hidden="1" customHeight="1" x14ac:dyDescent="0.2"/>
    <row r="12" spans="1:22" ht="15.75" hidden="1" customHeight="1" x14ac:dyDescent="0.4">
      <c r="B12" s="2" t="s">
        <v>29</v>
      </c>
      <c r="C12" s="3">
        <f>SUM(C7:C10)</f>
        <v>10</v>
      </c>
      <c r="D12" s="3">
        <f t="shared" ref="D12:J12" si="1">C12-SUM(D7:D10)</f>
        <v>9</v>
      </c>
      <c r="E12" s="4">
        <f t="shared" si="1"/>
        <v>9</v>
      </c>
      <c r="F12" s="3">
        <f t="shared" si="1"/>
        <v>8</v>
      </c>
      <c r="G12" s="3">
        <f t="shared" si="1"/>
        <v>7</v>
      </c>
      <c r="H12" s="3">
        <f t="shared" si="1"/>
        <v>6</v>
      </c>
      <c r="I12" s="3">
        <f t="shared" si="1"/>
        <v>5</v>
      </c>
      <c r="J12" s="3">
        <f t="shared" si="1"/>
        <v>0</v>
      </c>
    </row>
    <row r="13" spans="1:22" ht="15.75" hidden="1" customHeight="1" x14ac:dyDescent="0.4">
      <c r="B13" s="2" t="s">
        <v>30</v>
      </c>
      <c r="C13" s="3">
        <f>SUM(C7:C10)</f>
        <v>10</v>
      </c>
      <c r="D13" s="3">
        <f>C13-(SUM(C7:C10)/7)</f>
        <v>8.5714285714285712</v>
      </c>
      <c r="E13" s="4">
        <f>D13-(SUM(C7:C10)/7)</f>
        <v>7.1428571428571423</v>
      </c>
      <c r="F13" s="3">
        <f>E13-(SUM(C7:C10)/7)</f>
        <v>5.7142857142857135</v>
      </c>
      <c r="G13" s="3">
        <f>F13-(SUM(C7:C10)/7)</f>
        <v>4.2857142857142847</v>
      </c>
      <c r="H13" s="3">
        <f>G13-(SUM(C7:C10)/7)</f>
        <v>2.8571428571428559</v>
      </c>
      <c r="I13" s="3">
        <f>H13-(SUM(C7:C10)/7)</f>
        <v>1.4285714285714273</v>
      </c>
      <c r="J13" s="3">
        <f>I13-(SUM(C7:C10)/7)</f>
        <v>0</v>
      </c>
    </row>
    <row r="14" spans="1:22" ht="15.75" hidden="1" customHeight="1" x14ac:dyDescent="0.2"/>
    <row r="15" spans="1:22" ht="15.75" hidden="1" customHeight="1" x14ac:dyDescent="0.2"/>
    <row r="16" spans="1:22" ht="15.75" hidden="1" customHeight="1" x14ac:dyDescent="0.2">
      <c r="B16" s="56" t="s">
        <v>166</v>
      </c>
      <c r="C16" s="56"/>
      <c r="D16" s="56"/>
      <c r="E16" s="56"/>
      <c r="F16" s="56"/>
      <c r="G16" s="56"/>
    </row>
    <row r="17" spans="2:11" ht="15.75" hidden="1" customHeight="1" x14ac:dyDescent="0.2">
      <c r="B17" s="56"/>
      <c r="C17" s="56"/>
      <c r="D17" s="56"/>
      <c r="E17" s="56"/>
      <c r="F17" s="56"/>
      <c r="G17" s="56"/>
    </row>
    <row r="18" spans="2:11" ht="15.75" hidden="1" customHeight="1" x14ac:dyDescent="0.2">
      <c r="B18" s="56"/>
      <c r="C18" s="56"/>
      <c r="D18" s="56"/>
      <c r="E18" s="56"/>
      <c r="F18" s="56"/>
      <c r="G18" s="56"/>
    </row>
    <row r="19" spans="2:11" ht="15.75" hidden="1" customHeight="1" x14ac:dyDescent="0.2">
      <c r="B19" s="56"/>
      <c r="C19" s="56"/>
      <c r="D19" s="56"/>
      <c r="E19" s="56"/>
      <c r="F19" s="56"/>
      <c r="G19" s="56"/>
    </row>
    <row r="20" spans="2:11" ht="15.75" hidden="1" customHeight="1" x14ac:dyDescent="0.2">
      <c r="B20" s="56"/>
      <c r="C20" s="56"/>
      <c r="D20" s="56"/>
      <c r="E20" s="56"/>
      <c r="F20" s="56"/>
      <c r="G20" s="56"/>
    </row>
    <row r="21" spans="2:11" ht="15.75" hidden="1" customHeight="1" x14ac:dyDescent="0.2">
      <c r="B21" s="56"/>
      <c r="C21" s="56"/>
      <c r="D21" s="56"/>
      <c r="E21" s="56"/>
      <c r="F21" s="56"/>
      <c r="G21" s="56"/>
    </row>
    <row r="22" spans="2:11" ht="15.75" hidden="1" customHeight="1" x14ac:dyDescent="0.2">
      <c r="B22" s="56"/>
      <c r="C22" s="56"/>
      <c r="D22" s="56"/>
      <c r="E22" s="56"/>
      <c r="F22" s="56"/>
      <c r="G22" s="56"/>
    </row>
    <row r="23" spans="2:11" ht="15.75" hidden="1" customHeight="1" x14ac:dyDescent="0.2">
      <c r="B23" s="56"/>
      <c r="C23" s="56"/>
      <c r="D23" s="56"/>
      <c r="E23" s="56"/>
      <c r="F23" s="56"/>
      <c r="G23" s="56"/>
    </row>
    <row r="24" spans="2:11" ht="15.75" hidden="1" customHeight="1" x14ac:dyDescent="0.2">
      <c r="B24" s="47"/>
      <c r="C24" s="47"/>
      <c r="D24" s="47"/>
      <c r="E24" s="47"/>
      <c r="F24" s="47"/>
      <c r="G24" s="47"/>
    </row>
    <row r="25" spans="2:11" ht="15.75" hidden="1" customHeight="1" thickBot="1" x14ac:dyDescent="0.25">
      <c r="B25" s="1"/>
      <c r="C25" s="1" t="s">
        <v>17</v>
      </c>
      <c r="D25" s="1" t="s">
        <v>21</v>
      </c>
      <c r="E25" s="1" t="s">
        <v>22</v>
      </c>
      <c r="F25" s="1" t="s">
        <v>23</v>
      </c>
      <c r="G25" s="1" t="s">
        <v>24</v>
      </c>
      <c r="H25" s="1" t="s">
        <v>25</v>
      </c>
      <c r="I25" s="1" t="s">
        <v>26</v>
      </c>
      <c r="J25" s="1" t="s">
        <v>27</v>
      </c>
      <c r="K25" s="1" t="s">
        <v>28</v>
      </c>
    </row>
    <row r="26" spans="2:11" ht="15.75" hidden="1" customHeight="1" thickBot="1" x14ac:dyDescent="0.25">
      <c r="B26" s="12" t="s">
        <v>47</v>
      </c>
      <c r="C26" s="6">
        <v>5</v>
      </c>
      <c r="D26">
        <v>1</v>
      </c>
      <c r="E26">
        <v>0</v>
      </c>
      <c r="F26">
        <v>1</v>
      </c>
      <c r="G26">
        <v>0</v>
      </c>
      <c r="H26">
        <v>1</v>
      </c>
      <c r="I26">
        <v>1</v>
      </c>
      <c r="J26">
        <v>1</v>
      </c>
      <c r="K26" s="5">
        <f>+D26+E26+F26+G26+H26+I26+J26</f>
        <v>5</v>
      </c>
    </row>
    <row r="27" spans="2:11" ht="15.75" hidden="1" customHeight="1" thickBot="1" x14ac:dyDescent="0.25">
      <c r="B27" s="12" t="s">
        <v>50</v>
      </c>
      <c r="C27" s="6">
        <v>2</v>
      </c>
      <c r="D27">
        <v>0</v>
      </c>
      <c r="E27">
        <v>0</v>
      </c>
      <c r="F27">
        <v>0</v>
      </c>
      <c r="G27">
        <v>1</v>
      </c>
      <c r="H27">
        <v>0</v>
      </c>
      <c r="I27">
        <v>0</v>
      </c>
      <c r="J27">
        <v>1</v>
      </c>
      <c r="K27" s="5">
        <f t="shared" ref="K27:K29" si="2">+D27+E27+F27+G27+H27+I27+J27</f>
        <v>2</v>
      </c>
    </row>
    <row r="28" spans="2:11" ht="15.75" hidden="1" customHeight="1" thickBot="1" x14ac:dyDescent="0.25">
      <c r="B28" s="12" t="s">
        <v>52</v>
      </c>
      <c r="C28" s="6">
        <v>2</v>
      </c>
      <c r="D28">
        <v>1</v>
      </c>
      <c r="E28">
        <v>0</v>
      </c>
      <c r="F28">
        <v>0</v>
      </c>
      <c r="G28">
        <v>0</v>
      </c>
      <c r="H28">
        <v>0</v>
      </c>
      <c r="I28">
        <v>0</v>
      </c>
      <c r="J28">
        <v>1</v>
      </c>
      <c r="K28" s="5">
        <f t="shared" si="2"/>
        <v>2</v>
      </c>
    </row>
    <row r="29" spans="2:11" ht="15.75" hidden="1" customHeight="1" thickBot="1" x14ac:dyDescent="0.25">
      <c r="B29" s="14" t="s">
        <v>54</v>
      </c>
      <c r="C29" s="6">
        <v>3</v>
      </c>
      <c r="D29">
        <v>1</v>
      </c>
      <c r="E29">
        <v>0</v>
      </c>
      <c r="F29">
        <v>1</v>
      </c>
      <c r="G29">
        <v>0</v>
      </c>
      <c r="H29">
        <v>0</v>
      </c>
      <c r="I29">
        <v>0</v>
      </c>
      <c r="J29">
        <v>1</v>
      </c>
      <c r="K29" s="5">
        <f t="shared" si="2"/>
        <v>3</v>
      </c>
    </row>
    <row r="30" spans="2:11" ht="15.75" hidden="1" customHeight="1" x14ac:dyDescent="0.2"/>
    <row r="31" spans="2:11" ht="15.75" hidden="1" customHeight="1" x14ac:dyDescent="0.4">
      <c r="B31" s="2" t="s">
        <v>29</v>
      </c>
      <c r="C31" s="3">
        <f>SUM(C26:C29)</f>
        <v>12</v>
      </c>
      <c r="D31" s="3">
        <f t="shared" ref="D31:J31" si="3">C31-SUM(D26:D29)</f>
        <v>9</v>
      </c>
      <c r="E31" s="4">
        <f t="shared" si="3"/>
        <v>9</v>
      </c>
      <c r="F31" s="3">
        <f t="shared" si="3"/>
        <v>7</v>
      </c>
      <c r="G31" s="3">
        <f t="shared" si="3"/>
        <v>6</v>
      </c>
      <c r="H31" s="3">
        <f t="shared" si="3"/>
        <v>5</v>
      </c>
      <c r="I31" s="3">
        <f t="shared" si="3"/>
        <v>4</v>
      </c>
      <c r="J31" s="3">
        <f t="shared" si="3"/>
        <v>0</v>
      </c>
    </row>
    <row r="32" spans="2:11" ht="15.75" hidden="1" customHeight="1" x14ac:dyDescent="0.4">
      <c r="B32" s="2" t="s">
        <v>30</v>
      </c>
      <c r="C32" s="3">
        <f>SUM(C26:C29)</f>
        <v>12</v>
      </c>
      <c r="D32" s="3">
        <f>C32-(SUM(C26:C29)/7)</f>
        <v>10.285714285714286</v>
      </c>
      <c r="E32" s="4">
        <f>D32-(SUM(C26:C29)/7)</f>
        <v>8.571428571428573</v>
      </c>
      <c r="F32" s="3">
        <f>E32-(SUM(C26:C29)/7)</f>
        <v>6.8571428571428585</v>
      </c>
      <c r="G32" s="3">
        <f>F32-(SUM(C26:C29)/7)</f>
        <v>5.1428571428571441</v>
      </c>
      <c r="H32" s="3">
        <f>G32-(SUM(C26:C29)/7)</f>
        <v>3.4285714285714297</v>
      </c>
      <c r="I32" s="3">
        <f>H32-(SUM(C26:C29)/7)</f>
        <v>1.7142857142857155</v>
      </c>
      <c r="J32" s="3">
        <f>I32-(SUM(C26:C29)/7)</f>
        <v>0</v>
      </c>
    </row>
    <row r="33" spans="2:11" ht="15.75" hidden="1" customHeight="1" x14ac:dyDescent="0.2"/>
    <row r="34" spans="2:11" ht="15.75" hidden="1" customHeight="1" x14ac:dyDescent="0.2"/>
    <row r="35" spans="2:11" ht="15.75" hidden="1" customHeight="1" x14ac:dyDescent="0.2">
      <c r="B35" s="56" t="s">
        <v>167</v>
      </c>
      <c r="C35" s="56"/>
      <c r="D35" s="56"/>
      <c r="E35" s="56"/>
      <c r="F35" s="56"/>
      <c r="G35" s="56"/>
    </row>
    <row r="36" spans="2:11" ht="15.75" hidden="1" customHeight="1" x14ac:dyDescent="0.2">
      <c r="B36" s="56"/>
      <c r="C36" s="56"/>
      <c r="D36" s="56"/>
      <c r="E36" s="56"/>
      <c r="F36" s="56"/>
      <c r="G36" s="56"/>
    </row>
    <row r="37" spans="2:11" ht="15.75" hidden="1" customHeight="1" x14ac:dyDescent="0.2">
      <c r="B37" s="56"/>
      <c r="C37" s="56"/>
      <c r="D37" s="56"/>
      <c r="E37" s="56"/>
      <c r="F37" s="56"/>
      <c r="G37" s="56"/>
    </row>
    <row r="38" spans="2:11" ht="15.75" hidden="1" customHeight="1" x14ac:dyDescent="0.2">
      <c r="B38" s="56"/>
      <c r="C38" s="56"/>
      <c r="D38" s="56"/>
      <c r="E38" s="56"/>
      <c r="F38" s="56"/>
      <c r="G38" s="56"/>
    </row>
    <row r="39" spans="2:11" ht="15.75" hidden="1" customHeight="1" x14ac:dyDescent="0.2">
      <c r="B39" s="56"/>
      <c r="C39" s="56"/>
      <c r="D39" s="56"/>
      <c r="E39" s="56"/>
      <c r="F39" s="56"/>
      <c r="G39" s="56"/>
    </row>
    <row r="40" spans="2:11" ht="15.75" hidden="1" customHeight="1" x14ac:dyDescent="0.2">
      <c r="B40" s="56"/>
      <c r="C40" s="56"/>
      <c r="D40" s="56"/>
      <c r="E40" s="56"/>
      <c r="F40" s="56"/>
      <c r="G40" s="56"/>
    </row>
    <row r="41" spans="2:11" ht="15.75" hidden="1" customHeight="1" x14ac:dyDescent="0.2">
      <c r="B41" s="56"/>
      <c r="C41" s="56"/>
      <c r="D41" s="56"/>
      <c r="E41" s="56"/>
      <c r="F41" s="56"/>
      <c r="G41" s="56"/>
    </row>
    <row r="42" spans="2:11" ht="15.75" hidden="1" customHeight="1" x14ac:dyDescent="0.2">
      <c r="B42" s="56"/>
      <c r="C42" s="56"/>
      <c r="D42" s="56"/>
      <c r="E42" s="56"/>
      <c r="F42" s="56"/>
      <c r="G42" s="56"/>
    </row>
    <row r="43" spans="2:11" ht="15.75" hidden="1" customHeight="1" x14ac:dyDescent="0.2"/>
    <row r="44" spans="2:11" ht="15.75" hidden="1" customHeight="1" thickBot="1" x14ac:dyDescent="0.25">
      <c r="B44" s="1"/>
      <c r="C44" s="1" t="s">
        <v>17</v>
      </c>
      <c r="D44" s="1" t="s">
        <v>21</v>
      </c>
      <c r="E44" s="1" t="s">
        <v>22</v>
      </c>
      <c r="F44" s="1" t="s">
        <v>23</v>
      </c>
      <c r="G44" s="1" t="s">
        <v>24</v>
      </c>
      <c r="H44" s="1" t="s">
        <v>25</v>
      </c>
      <c r="I44" s="1" t="s">
        <v>26</v>
      </c>
      <c r="J44" s="1" t="s">
        <v>27</v>
      </c>
      <c r="K44" s="1" t="s">
        <v>28</v>
      </c>
    </row>
    <row r="45" spans="2:11" ht="15.75" hidden="1" customHeight="1" thickBot="1" x14ac:dyDescent="0.25">
      <c r="B45" s="12" t="s">
        <v>55</v>
      </c>
      <c r="C45" s="6">
        <v>3</v>
      </c>
      <c r="D45">
        <v>1</v>
      </c>
      <c r="E45">
        <v>0</v>
      </c>
      <c r="F45">
        <v>0</v>
      </c>
      <c r="G45">
        <v>0</v>
      </c>
      <c r="H45">
        <v>0</v>
      </c>
      <c r="I45">
        <v>1</v>
      </c>
      <c r="J45">
        <v>1</v>
      </c>
      <c r="K45" s="5">
        <f>+D45+E45+F45+G45+H45+I45+J45</f>
        <v>3</v>
      </c>
    </row>
    <row r="46" spans="2:11" ht="15.75" hidden="1" customHeight="1" thickBot="1" x14ac:dyDescent="0.25">
      <c r="B46" s="12" t="s">
        <v>58</v>
      </c>
      <c r="C46" s="6">
        <v>3</v>
      </c>
      <c r="D46">
        <v>1</v>
      </c>
      <c r="E46">
        <v>0</v>
      </c>
      <c r="F46">
        <v>0</v>
      </c>
      <c r="G46">
        <v>1</v>
      </c>
      <c r="H46">
        <v>0</v>
      </c>
      <c r="I46">
        <v>0</v>
      </c>
      <c r="J46">
        <v>1</v>
      </c>
      <c r="K46" s="5">
        <f t="shared" ref="K46:K48" si="4">+D46+E46+F46+G46+H46+I46+J46</f>
        <v>3</v>
      </c>
    </row>
    <row r="47" spans="2:11" ht="15.75" hidden="1" customHeight="1" thickBot="1" x14ac:dyDescent="0.25">
      <c r="B47" s="12" t="s">
        <v>60</v>
      </c>
      <c r="C47" s="6">
        <v>2</v>
      </c>
      <c r="D47">
        <v>1</v>
      </c>
      <c r="E47">
        <v>0</v>
      </c>
      <c r="F47">
        <v>0</v>
      </c>
      <c r="G47">
        <v>0</v>
      </c>
      <c r="H47">
        <v>0</v>
      </c>
      <c r="I47">
        <v>0</v>
      </c>
      <c r="J47">
        <v>1</v>
      </c>
      <c r="K47" s="5">
        <f t="shared" si="4"/>
        <v>2</v>
      </c>
    </row>
    <row r="48" spans="2:11" ht="15.75" hidden="1" customHeight="1" thickBot="1" x14ac:dyDescent="0.25">
      <c r="B48" s="14" t="s">
        <v>62</v>
      </c>
      <c r="C48" s="6">
        <v>4</v>
      </c>
      <c r="D48">
        <v>1</v>
      </c>
      <c r="E48">
        <v>0</v>
      </c>
      <c r="F48">
        <v>1</v>
      </c>
      <c r="G48">
        <v>0</v>
      </c>
      <c r="H48">
        <v>1</v>
      </c>
      <c r="I48">
        <v>0</v>
      </c>
      <c r="J48">
        <v>1</v>
      </c>
      <c r="K48" s="5">
        <f t="shared" si="4"/>
        <v>4</v>
      </c>
    </row>
    <row r="49" spans="2:11" ht="15.75" hidden="1" customHeight="1" x14ac:dyDescent="0.2"/>
    <row r="50" spans="2:11" ht="15.75" hidden="1" customHeight="1" x14ac:dyDescent="0.4">
      <c r="B50" s="2" t="s">
        <v>29</v>
      </c>
      <c r="C50" s="3">
        <f>SUM(C45:C48)</f>
        <v>12</v>
      </c>
      <c r="D50" s="3">
        <f t="shared" ref="D50:J50" si="5">C50-SUM(D45:D48)</f>
        <v>8</v>
      </c>
      <c r="E50" s="4">
        <f t="shared" si="5"/>
        <v>8</v>
      </c>
      <c r="F50" s="3">
        <f t="shared" si="5"/>
        <v>7</v>
      </c>
      <c r="G50" s="3">
        <f t="shared" si="5"/>
        <v>6</v>
      </c>
      <c r="H50" s="3">
        <f t="shared" si="5"/>
        <v>5</v>
      </c>
      <c r="I50" s="3">
        <f t="shared" si="5"/>
        <v>4</v>
      </c>
      <c r="J50" s="3">
        <f t="shared" si="5"/>
        <v>0</v>
      </c>
    </row>
    <row r="51" spans="2:11" ht="15.75" hidden="1" customHeight="1" x14ac:dyDescent="0.4">
      <c r="B51" s="2" t="s">
        <v>30</v>
      </c>
      <c r="C51" s="3">
        <f>SUM(C45:C48)</f>
        <v>12</v>
      </c>
      <c r="D51" s="3">
        <f>C51-(SUM(C45:C48)/7)</f>
        <v>10.285714285714286</v>
      </c>
      <c r="E51" s="4">
        <f>D51-(SUM(C45:C48)/7)</f>
        <v>8.571428571428573</v>
      </c>
      <c r="F51" s="3">
        <f>E51-(SUM(C45:C48)/7)</f>
        <v>6.8571428571428585</v>
      </c>
      <c r="G51" s="3">
        <f>F51-(SUM(C45:C48)/7)</f>
        <v>5.1428571428571441</v>
      </c>
      <c r="H51" s="3">
        <f>G51-(SUM(C45:C48)/7)</f>
        <v>3.4285714285714297</v>
      </c>
      <c r="I51" s="3">
        <f>H51-(SUM(C45:C48)/7)</f>
        <v>1.7142857142857155</v>
      </c>
      <c r="J51" s="3">
        <f>I51-(SUM(C45:C48)/7)</f>
        <v>0</v>
      </c>
    </row>
    <row r="52" spans="2:11" ht="15.75" hidden="1" customHeight="1" x14ac:dyDescent="0.2"/>
    <row r="53" spans="2:11" ht="15.75" hidden="1" customHeight="1" x14ac:dyDescent="0.2"/>
    <row r="54" spans="2:11" ht="15.75" hidden="1" customHeight="1" x14ac:dyDescent="0.2">
      <c r="B54" s="56" t="s">
        <v>168</v>
      </c>
      <c r="C54" s="56"/>
      <c r="D54" s="56"/>
      <c r="E54" s="56"/>
      <c r="F54" s="56"/>
      <c r="G54" s="56"/>
    </row>
    <row r="55" spans="2:11" ht="15.75" hidden="1" customHeight="1" x14ac:dyDescent="0.2">
      <c r="B55" s="56"/>
      <c r="C55" s="56"/>
      <c r="D55" s="56"/>
      <c r="E55" s="56"/>
      <c r="F55" s="56"/>
      <c r="G55" s="56"/>
    </row>
    <row r="56" spans="2:11" ht="15.75" hidden="1" customHeight="1" x14ac:dyDescent="0.2">
      <c r="B56" s="56"/>
      <c r="C56" s="56"/>
      <c r="D56" s="56"/>
      <c r="E56" s="56"/>
      <c r="F56" s="56"/>
      <c r="G56" s="56"/>
    </row>
    <row r="57" spans="2:11" ht="15.75" hidden="1" customHeight="1" x14ac:dyDescent="0.2">
      <c r="B57" s="56"/>
      <c r="C57" s="56"/>
      <c r="D57" s="56"/>
      <c r="E57" s="56"/>
      <c r="F57" s="56"/>
      <c r="G57" s="56"/>
    </row>
    <row r="58" spans="2:11" ht="15.75" hidden="1" customHeight="1" x14ac:dyDescent="0.2">
      <c r="B58" s="56"/>
      <c r="C58" s="56"/>
      <c r="D58" s="56"/>
      <c r="E58" s="56"/>
      <c r="F58" s="56"/>
      <c r="G58" s="56"/>
    </row>
    <row r="59" spans="2:11" ht="15.75" hidden="1" customHeight="1" x14ac:dyDescent="0.2">
      <c r="B59" s="56"/>
      <c r="C59" s="56"/>
      <c r="D59" s="56"/>
      <c r="E59" s="56"/>
      <c r="F59" s="56"/>
      <c r="G59" s="56"/>
    </row>
    <row r="60" spans="2:11" ht="15.75" hidden="1" customHeight="1" x14ac:dyDescent="0.2">
      <c r="B60" s="56"/>
      <c r="C60" s="56"/>
      <c r="D60" s="56"/>
      <c r="E60" s="56"/>
      <c r="F60" s="56"/>
      <c r="G60" s="56"/>
    </row>
    <row r="61" spans="2:11" ht="15.75" hidden="1" customHeight="1" x14ac:dyDescent="0.2">
      <c r="B61" s="56"/>
      <c r="C61" s="56"/>
      <c r="D61" s="56"/>
      <c r="E61" s="56"/>
      <c r="F61" s="56"/>
      <c r="G61" s="56"/>
    </row>
    <row r="62" spans="2:11" ht="15.75" hidden="1" customHeight="1" x14ac:dyDescent="0.2"/>
    <row r="63" spans="2:11" ht="15.75" hidden="1" customHeight="1" thickBot="1" x14ac:dyDescent="0.25">
      <c r="B63" s="1"/>
      <c r="C63" s="1" t="s">
        <v>17</v>
      </c>
      <c r="D63" s="1" t="s">
        <v>21</v>
      </c>
      <c r="E63" s="1" t="s">
        <v>22</v>
      </c>
      <c r="F63" s="1" t="s">
        <v>23</v>
      </c>
      <c r="G63" s="1" t="s">
        <v>24</v>
      </c>
      <c r="H63" s="1" t="s">
        <v>25</v>
      </c>
      <c r="I63" s="1" t="s">
        <v>26</v>
      </c>
      <c r="J63" s="1" t="s">
        <v>27</v>
      </c>
      <c r="K63" s="1" t="s">
        <v>28</v>
      </c>
    </row>
    <row r="64" spans="2:11" ht="15.75" hidden="1" customHeight="1" thickBot="1" x14ac:dyDescent="0.25">
      <c r="B64" s="12" t="s">
        <v>63</v>
      </c>
      <c r="C64" s="6">
        <v>4</v>
      </c>
      <c r="D64">
        <v>1</v>
      </c>
      <c r="E64">
        <v>1</v>
      </c>
      <c r="F64">
        <v>0</v>
      </c>
      <c r="G64">
        <v>0</v>
      </c>
      <c r="H64">
        <v>0</v>
      </c>
      <c r="I64">
        <v>1</v>
      </c>
      <c r="J64">
        <v>1</v>
      </c>
      <c r="K64" s="5">
        <f>+D64+E64+F64+G64+H64+I64+J64</f>
        <v>4</v>
      </c>
    </row>
    <row r="65" spans="2:11" ht="15.75" hidden="1" customHeight="1" thickBot="1" x14ac:dyDescent="0.25">
      <c r="B65" s="12" t="s">
        <v>64</v>
      </c>
      <c r="C65" s="6">
        <v>5</v>
      </c>
      <c r="D65">
        <v>1</v>
      </c>
      <c r="E65">
        <v>1</v>
      </c>
      <c r="F65">
        <v>1</v>
      </c>
      <c r="G65">
        <v>1</v>
      </c>
      <c r="H65">
        <v>0</v>
      </c>
      <c r="I65">
        <v>0</v>
      </c>
      <c r="J65">
        <v>1</v>
      </c>
      <c r="K65" s="5">
        <f t="shared" ref="K65:K67" si="6">+D65+E65+F65+G65+H65+I65+J65</f>
        <v>5</v>
      </c>
    </row>
    <row r="66" spans="2:11" ht="15.75" hidden="1" customHeight="1" thickBot="1" x14ac:dyDescent="0.25">
      <c r="B66" s="12" t="s">
        <v>65</v>
      </c>
      <c r="C66" s="6">
        <v>2</v>
      </c>
      <c r="D66">
        <v>1</v>
      </c>
      <c r="E66">
        <v>0</v>
      </c>
      <c r="F66">
        <v>0</v>
      </c>
      <c r="G66">
        <v>0</v>
      </c>
      <c r="H66">
        <v>0</v>
      </c>
      <c r="I66">
        <v>0</v>
      </c>
      <c r="J66">
        <v>1</v>
      </c>
      <c r="K66" s="5">
        <f t="shared" si="6"/>
        <v>2</v>
      </c>
    </row>
    <row r="67" spans="2:11" ht="15.75" hidden="1" customHeight="1" thickBot="1" x14ac:dyDescent="0.25">
      <c r="B67" s="14" t="s">
        <v>66</v>
      </c>
      <c r="C67" s="6">
        <v>3</v>
      </c>
      <c r="D67">
        <v>1</v>
      </c>
      <c r="E67">
        <v>0</v>
      </c>
      <c r="F67">
        <v>0</v>
      </c>
      <c r="G67">
        <v>0</v>
      </c>
      <c r="H67">
        <v>1</v>
      </c>
      <c r="I67">
        <v>0</v>
      </c>
      <c r="J67">
        <v>1</v>
      </c>
      <c r="K67" s="5">
        <f t="shared" si="6"/>
        <v>3</v>
      </c>
    </row>
    <row r="68" spans="2:11" ht="15.75" hidden="1" customHeight="1" x14ac:dyDescent="0.2"/>
    <row r="69" spans="2:11" ht="15.75" hidden="1" customHeight="1" x14ac:dyDescent="0.4">
      <c r="B69" s="2" t="s">
        <v>29</v>
      </c>
      <c r="C69" s="3">
        <f>SUM(C64:C67)</f>
        <v>14</v>
      </c>
      <c r="D69" s="3">
        <f t="shared" ref="D69:J69" si="7">C69-SUM(D64:D67)</f>
        <v>10</v>
      </c>
      <c r="E69" s="4">
        <f t="shared" si="7"/>
        <v>8</v>
      </c>
      <c r="F69" s="3">
        <f t="shared" si="7"/>
        <v>7</v>
      </c>
      <c r="G69" s="3">
        <f t="shared" si="7"/>
        <v>6</v>
      </c>
      <c r="H69" s="3">
        <f t="shared" si="7"/>
        <v>5</v>
      </c>
      <c r="I69" s="3">
        <f t="shared" si="7"/>
        <v>4</v>
      </c>
      <c r="J69" s="3">
        <f t="shared" si="7"/>
        <v>0</v>
      </c>
    </row>
    <row r="70" spans="2:11" ht="15.75" hidden="1" customHeight="1" x14ac:dyDescent="0.4">
      <c r="B70" s="2" t="s">
        <v>30</v>
      </c>
      <c r="C70" s="3">
        <f>SUM(C64:C67)</f>
        <v>14</v>
      </c>
      <c r="D70" s="3">
        <f>C70-(SUM(C64:C67)/7)</f>
        <v>12</v>
      </c>
      <c r="E70" s="4">
        <f>D70-(SUM(C64:C67)/7)</f>
        <v>10</v>
      </c>
      <c r="F70" s="3">
        <f>E70-(SUM(C64:C67)/7)</f>
        <v>8</v>
      </c>
      <c r="G70" s="3">
        <f>F70-(SUM(C64:C67)/7)</f>
        <v>6</v>
      </c>
      <c r="H70" s="3">
        <f>G70-(SUM(C64:C67)/7)</f>
        <v>4</v>
      </c>
      <c r="I70" s="3">
        <f>H70-(SUM(C64:C67)/7)</f>
        <v>2</v>
      </c>
      <c r="J70" s="3">
        <f>I70-(SUM(C64:C67)/7)</f>
        <v>0</v>
      </c>
    </row>
    <row r="71" spans="2:11" ht="15.75" hidden="1" customHeight="1" x14ac:dyDescent="0.2"/>
    <row r="72" spans="2:11" ht="15.75" hidden="1" customHeight="1" x14ac:dyDescent="0.2"/>
    <row r="73" spans="2:11" ht="15.75" hidden="1" customHeight="1" x14ac:dyDescent="0.2">
      <c r="B73" s="56" t="s">
        <v>169</v>
      </c>
      <c r="C73" s="56"/>
      <c r="D73" s="56"/>
      <c r="E73" s="56"/>
      <c r="F73" s="56"/>
      <c r="G73" s="56"/>
    </row>
    <row r="74" spans="2:11" ht="15.75" hidden="1" customHeight="1" x14ac:dyDescent="0.2">
      <c r="B74" s="56"/>
      <c r="C74" s="56"/>
      <c r="D74" s="56"/>
      <c r="E74" s="56"/>
      <c r="F74" s="56"/>
      <c r="G74" s="56"/>
    </row>
    <row r="75" spans="2:11" ht="15.75" hidden="1" customHeight="1" x14ac:dyDescent="0.2">
      <c r="B75" s="56"/>
      <c r="C75" s="56"/>
      <c r="D75" s="56"/>
      <c r="E75" s="56"/>
      <c r="F75" s="56"/>
      <c r="G75" s="56"/>
    </row>
    <row r="76" spans="2:11" ht="15.75" hidden="1" customHeight="1" x14ac:dyDescent="0.2">
      <c r="B76" s="56"/>
      <c r="C76" s="56"/>
      <c r="D76" s="56"/>
      <c r="E76" s="56"/>
      <c r="F76" s="56"/>
      <c r="G76" s="56"/>
    </row>
    <row r="77" spans="2:11" ht="15.75" hidden="1" customHeight="1" x14ac:dyDescent="0.2">
      <c r="B77" s="56"/>
      <c r="C77" s="56"/>
      <c r="D77" s="56"/>
      <c r="E77" s="56"/>
      <c r="F77" s="56"/>
      <c r="G77" s="56"/>
    </row>
    <row r="78" spans="2:11" ht="15.75" hidden="1" customHeight="1" x14ac:dyDescent="0.2">
      <c r="B78" s="56"/>
      <c r="C78" s="56"/>
      <c r="D78" s="56"/>
      <c r="E78" s="56"/>
      <c r="F78" s="56"/>
      <c r="G78" s="56"/>
    </row>
    <row r="79" spans="2:11" ht="15.75" hidden="1" customHeight="1" x14ac:dyDescent="0.2">
      <c r="B79" s="56"/>
      <c r="C79" s="56"/>
      <c r="D79" s="56"/>
      <c r="E79" s="56"/>
      <c r="F79" s="56"/>
      <c r="G79" s="56"/>
    </row>
    <row r="80" spans="2:11" ht="15.75" hidden="1" customHeight="1" x14ac:dyDescent="0.2">
      <c r="B80" s="56"/>
      <c r="C80" s="56"/>
      <c r="D80" s="56"/>
      <c r="E80" s="56"/>
      <c r="F80" s="56"/>
      <c r="G80" s="56"/>
    </row>
    <row r="81" spans="1:22" ht="15.75" hidden="1" customHeight="1" x14ac:dyDescent="0.2"/>
    <row r="82" spans="1:22" ht="15.75" customHeight="1" x14ac:dyDescent="0.2"/>
    <row r="83" spans="1:22" ht="15.75" customHeight="1" x14ac:dyDescent="0.2">
      <c r="A83" s="57" t="s">
        <v>164</v>
      </c>
      <c r="B83" s="57"/>
      <c r="C83" s="57"/>
      <c r="D83" s="57"/>
      <c r="E83" s="57"/>
      <c r="F83" s="57"/>
      <c r="G83" s="57"/>
      <c r="H83" s="57"/>
      <c r="I83" s="57"/>
      <c r="J83" s="57"/>
      <c r="K83" s="57"/>
      <c r="L83" s="57"/>
      <c r="M83" s="57"/>
      <c r="N83" s="57"/>
      <c r="O83" s="57"/>
      <c r="P83" s="57"/>
      <c r="Q83" s="57"/>
      <c r="R83" s="57"/>
      <c r="S83" s="57"/>
      <c r="T83" s="57"/>
      <c r="U83" s="57"/>
      <c r="V83" s="57"/>
    </row>
    <row r="84" spans="1:22" ht="15.75" customHeight="1" x14ac:dyDescent="0.2">
      <c r="A84" s="57"/>
      <c r="B84" s="57"/>
      <c r="C84" s="57"/>
      <c r="D84" s="57"/>
      <c r="E84" s="57"/>
      <c r="F84" s="57"/>
      <c r="G84" s="57"/>
      <c r="H84" s="57"/>
      <c r="I84" s="57"/>
      <c r="J84" s="57"/>
      <c r="K84" s="57"/>
      <c r="L84" s="57"/>
      <c r="M84" s="57"/>
      <c r="N84" s="57"/>
      <c r="O84" s="57"/>
      <c r="P84" s="57"/>
      <c r="Q84" s="57"/>
      <c r="R84" s="57"/>
      <c r="S84" s="57"/>
      <c r="T84" s="57"/>
      <c r="U84" s="57"/>
      <c r="V84" s="57"/>
    </row>
    <row r="85" spans="1:22" ht="15.75" customHeight="1" x14ac:dyDescent="0.2"/>
    <row r="86" spans="1:22" ht="15.75" customHeight="1" x14ac:dyDescent="0.2"/>
    <row r="87" spans="1:22" ht="15.75" customHeight="1" thickBot="1" x14ac:dyDescent="0.25">
      <c r="B87" s="1"/>
      <c r="C87" s="1" t="s">
        <v>17</v>
      </c>
      <c r="D87" s="1" t="s">
        <v>21</v>
      </c>
      <c r="E87" s="1" t="s">
        <v>22</v>
      </c>
      <c r="F87" s="1" t="s">
        <v>23</v>
      </c>
      <c r="G87" s="1" t="s">
        <v>24</v>
      </c>
      <c r="H87" s="1" t="s">
        <v>25</v>
      </c>
      <c r="I87" s="1" t="s">
        <v>26</v>
      </c>
      <c r="J87" s="1" t="s">
        <v>27</v>
      </c>
      <c r="K87" s="1" t="s">
        <v>28</v>
      </c>
    </row>
    <row r="88" spans="1:22" ht="15.75" customHeight="1" thickBot="1" x14ac:dyDescent="0.25">
      <c r="B88" s="12" t="s">
        <v>97</v>
      </c>
      <c r="C88" s="6">
        <v>5</v>
      </c>
      <c r="D88">
        <v>1</v>
      </c>
      <c r="E88">
        <v>0</v>
      </c>
      <c r="F88">
        <v>0</v>
      </c>
      <c r="G88">
        <v>0</v>
      </c>
      <c r="H88">
        <v>3</v>
      </c>
      <c r="I88">
        <v>0</v>
      </c>
      <c r="J88">
        <v>1</v>
      </c>
      <c r="K88" s="5">
        <f>+D88+E88+F88+G88+H88+I88+J88</f>
        <v>5</v>
      </c>
    </row>
    <row r="89" spans="1:22" ht="15.75" customHeight="1" thickBot="1" x14ac:dyDescent="0.25">
      <c r="B89" s="12" t="s">
        <v>98</v>
      </c>
      <c r="C89" s="6">
        <v>3</v>
      </c>
      <c r="D89">
        <v>0</v>
      </c>
      <c r="E89">
        <v>0</v>
      </c>
      <c r="F89">
        <v>0</v>
      </c>
      <c r="G89">
        <v>2</v>
      </c>
      <c r="H89">
        <v>0</v>
      </c>
      <c r="I89">
        <v>0</v>
      </c>
      <c r="J89">
        <v>1</v>
      </c>
      <c r="K89" s="5">
        <f t="shared" ref="K89:K91" si="8">+D89+E89+F89+G89+H89+I89+J89</f>
        <v>3</v>
      </c>
    </row>
    <row r="90" spans="1:22" ht="15.75" customHeight="1" thickBot="1" x14ac:dyDescent="0.25">
      <c r="B90" s="12" t="s">
        <v>100</v>
      </c>
      <c r="C90" s="6">
        <v>2</v>
      </c>
      <c r="D90">
        <v>1</v>
      </c>
      <c r="E90">
        <v>0</v>
      </c>
      <c r="F90">
        <v>0</v>
      </c>
      <c r="G90">
        <v>0</v>
      </c>
      <c r="H90">
        <v>0</v>
      </c>
      <c r="I90">
        <v>1</v>
      </c>
      <c r="J90">
        <v>0</v>
      </c>
      <c r="K90" s="5">
        <f t="shared" si="8"/>
        <v>2</v>
      </c>
    </row>
    <row r="91" spans="1:22" ht="15.75" customHeight="1" thickBot="1" x14ac:dyDescent="0.25">
      <c r="B91" s="14" t="s">
        <v>101</v>
      </c>
      <c r="C91" s="6">
        <v>2</v>
      </c>
      <c r="D91">
        <v>0</v>
      </c>
      <c r="E91">
        <v>0</v>
      </c>
      <c r="F91">
        <v>0</v>
      </c>
      <c r="G91">
        <v>0</v>
      </c>
      <c r="H91">
        <v>0</v>
      </c>
      <c r="I91">
        <v>1</v>
      </c>
      <c r="J91">
        <v>1</v>
      </c>
      <c r="K91" s="5">
        <f t="shared" si="8"/>
        <v>2</v>
      </c>
    </row>
    <row r="92" spans="1:22" ht="15.75" customHeight="1" x14ac:dyDescent="0.2"/>
    <row r="93" spans="1:22" ht="15.75" customHeight="1" x14ac:dyDescent="0.4">
      <c r="B93" s="2" t="s">
        <v>29</v>
      </c>
      <c r="C93" s="3">
        <f>SUM(C88:C91)</f>
        <v>12</v>
      </c>
      <c r="D93" s="3">
        <f t="shared" ref="D93:J93" si="9">C93-SUM(D88:D91)</f>
        <v>10</v>
      </c>
      <c r="E93" s="4">
        <f t="shared" si="9"/>
        <v>10</v>
      </c>
      <c r="F93" s="3">
        <f t="shared" si="9"/>
        <v>10</v>
      </c>
      <c r="G93" s="3">
        <f t="shared" si="9"/>
        <v>8</v>
      </c>
      <c r="H93" s="3">
        <f t="shared" si="9"/>
        <v>5</v>
      </c>
      <c r="I93" s="3">
        <f t="shared" si="9"/>
        <v>3</v>
      </c>
      <c r="J93" s="3">
        <f t="shared" si="9"/>
        <v>0</v>
      </c>
    </row>
    <row r="94" spans="1:22" ht="15.75" customHeight="1" x14ac:dyDescent="0.4">
      <c r="B94" s="2" t="s">
        <v>30</v>
      </c>
      <c r="C94" s="3">
        <f>SUM(C88:C91)</f>
        <v>12</v>
      </c>
      <c r="D94" s="3">
        <f>C94-(SUM(C88:C91)/7)</f>
        <v>10.285714285714286</v>
      </c>
      <c r="E94" s="4">
        <f>D94-(SUM(C88:C91)/7)</f>
        <v>8.571428571428573</v>
      </c>
      <c r="F94" s="3">
        <f>E94-(SUM(C88:C91)/7)</f>
        <v>6.8571428571428585</v>
      </c>
      <c r="G94" s="3">
        <f>F94-(SUM(C88:C91)/7)</f>
        <v>5.1428571428571441</v>
      </c>
      <c r="H94" s="3">
        <f>G94-(SUM(C88:C91)/7)</f>
        <v>3.4285714285714297</v>
      </c>
      <c r="I94" s="3">
        <f>H94-(SUM(C88:C91)/7)</f>
        <v>1.7142857142857155</v>
      </c>
      <c r="J94" s="3">
        <f>I94-(SUM(C88:C91)/7)</f>
        <v>0</v>
      </c>
    </row>
    <row r="95" spans="1:22" ht="15.75" customHeight="1" x14ac:dyDescent="0.2"/>
    <row r="96" spans="1:22" ht="15.75" customHeight="1" x14ac:dyDescent="0.2"/>
    <row r="97" spans="2:11" ht="15.75" customHeight="1" x14ac:dyDescent="0.2">
      <c r="B97" s="56" t="s">
        <v>170</v>
      </c>
      <c r="C97" s="56"/>
      <c r="D97" s="56"/>
      <c r="E97" s="56"/>
      <c r="F97" s="56"/>
      <c r="G97" s="56"/>
    </row>
    <row r="98" spans="2:11" ht="15.75" customHeight="1" x14ac:dyDescent="0.2">
      <c r="B98" s="56"/>
      <c r="C98" s="56"/>
      <c r="D98" s="56"/>
      <c r="E98" s="56"/>
      <c r="F98" s="56"/>
      <c r="G98" s="56"/>
    </row>
    <row r="99" spans="2:11" ht="15.75" customHeight="1" x14ac:dyDescent="0.2">
      <c r="B99" s="56"/>
      <c r="C99" s="56"/>
      <c r="D99" s="56"/>
      <c r="E99" s="56"/>
      <c r="F99" s="56"/>
      <c r="G99" s="56"/>
    </row>
    <row r="100" spans="2:11" ht="15.75" customHeight="1" x14ac:dyDescent="0.2">
      <c r="B100" s="56"/>
      <c r="C100" s="56"/>
      <c r="D100" s="56"/>
      <c r="E100" s="56"/>
      <c r="F100" s="56"/>
      <c r="G100" s="56"/>
    </row>
    <row r="101" spans="2:11" ht="15.75" customHeight="1" x14ac:dyDescent="0.2">
      <c r="B101" s="56"/>
      <c r="C101" s="56"/>
      <c r="D101" s="56"/>
      <c r="E101" s="56"/>
      <c r="F101" s="56"/>
      <c r="G101" s="56"/>
    </row>
    <row r="102" spans="2:11" ht="15.75" customHeight="1" x14ac:dyDescent="0.2">
      <c r="B102" s="56"/>
      <c r="C102" s="56"/>
      <c r="D102" s="56"/>
      <c r="E102" s="56"/>
      <c r="F102" s="56"/>
      <c r="G102" s="56"/>
    </row>
    <row r="103" spans="2:11" ht="15.75" customHeight="1" x14ac:dyDescent="0.2">
      <c r="B103" s="56"/>
      <c r="C103" s="56"/>
      <c r="D103" s="56"/>
      <c r="E103" s="56"/>
      <c r="F103" s="56"/>
      <c r="G103" s="56"/>
    </row>
    <row r="104" spans="2:11" ht="15.75" customHeight="1" x14ac:dyDescent="0.2">
      <c r="B104" s="56"/>
      <c r="C104" s="56"/>
      <c r="D104" s="56"/>
      <c r="E104" s="56"/>
      <c r="F104" s="56"/>
      <c r="G104" s="56"/>
    </row>
    <row r="105" spans="2:11" ht="15.75" customHeight="1" x14ac:dyDescent="0.2"/>
    <row r="106" spans="2:11" ht="15.75" customHeight="1" x14ac:dyDescent="0.2"/>
    <row r="107" spans="2:11" ht="15.75" customHeight="1" thickBot="1" x14ac:dyDescent="0.25">
      <c r="B107" s="1"/>
      <c r="C107" s="1" t="s">
        <v>17</v>
      </c>
      <c r="D107" s="1" t="s">
        <v>21</v>
      </c>
      <c r="E107" s="1" t="s">
        <v>22</v>
      </c>
      <c r="F107" s="1" t="s">
        <v>23</v>
      </c>
      <c r="G107" s="1" t="s">
        <v>24</v>
      </c>
      <c r="H107" s="1" t="s">
        <v>25</v>
      </c>
      <c r="I107" s="1" t="s">
        <v>26</v>
      </c>
      <c r="J107" s="1" t="s">
        <v>27</v>
      </c>
      <c r="K107" s="1" t="s">
        <v>28</v>
      </c>
    </row>
    <row r="108" spans="2:11" ht="15.75" customHeight="1" thickBot="1" x14ac:dyDescent="0.25">
      <c r="B108" s="12" t="s">
        <v>102</v>
      </c>
      <c r="C108" s="6">
        <v>5</v>
      </c>
      <c r="D108">
        <v>1</v>
      </c>
      <c r="E108">
        <v>0</v>
      </c>
      <c r="F108">
        <v>0</v>
      </c>
      <c r="G108">
        <v>0</v>
      </c>
      <c r="H108">
        <v>3</v>
      </c>
      <c r="I108">
        <v>0</v>
      </c>
      <c r="J108">
        <v>1</v>
      </c>
      <c r="K108" s="5">
        <f>+D108+E108+F108+G108+H108+I108+J108</f>
        <v>5</v>
      </c>
    </row>
    <row r="109" spans="2:11" ht="15.75" customHeight="1" thickBot="1" x14ac:dyDescent="0.25">
      <c r="B109" s="12" t="s">
        <v>103</v>
      </c>
      <c r="C109" s="6">
        <v>3</v>
      </c>
      <c r="D109">
        <v>0</v>
      </c>
      <c r="E109">
        <v>0</v>
      </c>
      <c r="F109">
        <v>0</v>
      </c>
      <c r="G109">
        <v>2</v>
      </c>
      <c r="H109">
        <v>0</v>
      </c>
      <c r="I109">
        <v>0</v>
      </c>
      <c r="J109">
        <v>1</v>
      </c>
      <c r="K109" s="5">
        <f t="shared" ref="K109:K111" si="10">+D109+E109+F109+G109+H109+I109+J109</f>
        <v>3</v>
      </c>
    </row>
    <row r="110" spans="2:11" ht="15.75" customHeight="1" thickBot="1" x14ac:dyDescent="0.25">
      <c r="B110" s="12" t="s">
        <v>104</v>
      </c>
      <c r="C110" s="6">
        <v>3</v>
      </c>
      <c r="D110">
        <v>2</v>
      </c>
      <c r="E110">
        <v>0</v>
      </c>
      <c r="F110">
        <v>0</v>
      </c>
      <c r="G110">
        <v>0</v>
      </c>
      <c r="H110">
        <v>0</v>
      </c>
      <c r="I110">
        <v>1</v>
      </c>
      <c r="J110">
        <v>0</v>
      </c>
      <c r="K110" s="5">
        <f t="shared" si="10"/>
        <v>3</v>
      </c>
    </row>
    <row r="111" spans="2:11" ht="15.75" customHeight="1" thickBot="1" x14ac:dyDescent="0.25">
      <c r="B111" s="14" t="s">
        <v>110</v>
      </c>
      <c r="C111" s="6">
        <v>3</v>
      </c>
      <c r="D111">
        <v>0</v>
      </c>
      <c r="E111">
        <v>0</v>
      </c>
      <c r="F111">
        <v>0</v>
      </c>
      <c r="G111">
        <v>0</v>
      </c>
      <c r="H111">
        <v>0</v>
      </c>
      <c r="I111">
        <v>2</v>
      </c>
      <c r="J111">
        <v>1</v>
      </c>
      <c r="K111" s="5">
        <f t="shared" si="10"/>
        <v>3</v>
      </c>
    </row>
    <row r="112" spans="2:11" ht="15.75" customHeight="1" x14ac:dyDescent="0.2"/>
    <row r="113" spans="2:11" ht="15.75" customHeight="1" x14ac:dyDescent="0.4">
      <c r="B113" s="2" t="s">
        <v>29</v>
      </c>
      <c r="C113" s="3">
        <f>SUM(C108:C111)</f>
        <v>14</v>
      </c>
      <c r="D113" s="3">
        <f t="shared" ref="D113:J113" si="11">C113-SUM(D108:D111)</f>
        <v>11</v>
      </c>
      <c r="E113" s="4">
        <f t="shared" si="11"/>
        <v>11</v>
      </c>
      <c r="F113" s="3">
        <f t="shared" si="11"/>
        <v>11</v>
      </c>
      <c r="G113" s="3">
        <f t="shared" si="11"/>
        <v>9</v>
      </c>
      <c r="H113" s="3">
        <f t="shared" si="11"/>
        <v>6</v>
      </c>
      <c r="I113" s="3">
        <f t="shared" si="11"/>
        <v>3</v>
      </c>
      <c r="J113" s="3">
        <f t="shared" si="11"/>
        <v>0</v>
      </c>
    </row>
    <row r="114" spans="2:11" ht="15.75" customHeight="1" x14ac:dyDescent="0.4">
      <c r="B114" s="2" t="s">
        <v>30</v>
      </c>
      <c r="C114" s="3">
        <f>SUM(C108:C111)</f>
        <v>14</v>
      </c>
      <c r="D114" s="3">
        <f>C114-(SUM(C108:C111)/7)</f>
        <v>12</v>
      </c>
      <c r="E114" s="4">
        <f>D114-(SUM(C108:C111)/7)</f>
        <v>10</v>
      </c>
      <c r="F114" s="3">
        <f>E114-(SUM(C108:C111)/7)</f>
        <v>8</v>
      </c>
      <c r="G114" s="3">
        <f>F114-(SUM(C108:C111)/7)</f>
        <v>6</v>
      </c>
      <c r="H114" s="3">
        <f>G114-(SUM(C108:C111)/7)</f>
        <v>4</v>
      </c>
      <c r="I114" s="3">
        <f>H114-(SUM(C108:C111)/7)</f>
        <v>2</v>
      </c>
      <c r="J114" s="3">
        <f>I114-(SUM(C108:C111)/7)</f>
        <v>0</v>
      </c>
    </row>
    <row r="115" spans="2:11" ht="15.75" customHeight="1" x14ac:dyDescent="0.2"/>
    <row r="116" spans="2:11" ht="15.75" customHeight="1" x14ac:dyDescent="0.2"/>
    <row r="117" spans="2:11" ht="15.75" customHeight="1" x14ac:dyDescent="0.2">
      <c r="B117" s="56" t="s">
        <v>171</v>
      </c>
      <c r="C117" s="56"/>
      <c r="D117" s="56"/>
      <c r="E117" s="56"/>
      <c r="F117" s="56"/>
      <c r="G117" s="56"/>
    </row>
    <row r="118" spans="2:11" ht="15.75" customHeight="1" x14ac:dyDescent="0.2">
      <c r="B118" s="56"/>
      <c r="C118" s="56"/>
      <c r="D118" s="56"/>
      <c r="E118" s="56"/>
      <c r="F118" s="56"/>
      <c r="G118" s="56"/>
    </row>
    <row r="119" spans="2:11" ht="15.75" customHeight="1" x14ac:dyDescent="0.2">
      <c r="B119" s="56"/>
      <c r="C119" s="56"/>
      <c r="D119" s="56"/>
      <c r="E119" s="56"/>
      <c r="F119" s="56"/>
      <c r="G119" s="56"/>
    </row>
    <row r="120" spans="2:11" ht="15.75" customHeight="1" x14ac:dyDescent="0.2">
      <c r="B120" s="56"/>
      <c r="C120" s="56"/>
      <c r="D120" s="56"/>
      <c r="E120" s="56"/>
      <c r="F120" s="56"/>
      <c r="G120" s="56"/>
    </row>
    <row r="121" spans="2:11" ht="15.75" customHeight="1" x14ac:dyDescent="0.2">
      <c r="B121" s="56"/>
      <c r="C121" s="56"/>
      <c r="D121" s="56"/>
      <c r="E121" s="56"/>
      <c r="F121" s="56"/>
      <c r="G121" s="56"/>
    </row>
    <row r="122" spans="2:11" ht="15.75" customHeight="1" x14ac:dyDescent="0.2">
      <c r="B122" s="56"/>
      <c r="C122" s="56"/>
      <c r="D122" s="56"/>
      <c r="E122" s="56"/>
      <c r="F122" s="56"/>
      <c r="G122" s="56"/>
    </row>
    <row r="123" spans="2:11" ht="15.75" customHeight="1" x14ac:dyDescent="0.2">
      <c r="B123" s="56"/>
      <c r="C123" s="56"/>
      <c r="D123" s="56"/>
      <c r="E123" s="56"/>
      <c r="F123" s="56"/>
      <c r="G123" s="56"/>
    </row>
    <row r="124" spans="2:11" ht="15.75" customHeight="1" x14ac:dyDescent="0.2">
      <c r="B124" s="56"/>
      <c r="C124" s="56"/>
      <c r="D124" s="56"/>
      <c r="E124" s="56"/>
      <c r="F124" s="56"/>
      <c r="G124" s="56"/>
    </row>
    <row r="125" spans="2:11" ht="15.75" customHeight="1" x14ac:dyDescent="0.2"/>
    <row r="126" spans="2:11" ht="15.75" customHeight="1" x14ac:dyDescent="0.2"/>
    <row r="127" spans="2:11" ht="15.75" customHeight="1" thickBot="1" x14ac:dyDescent="0.25">
      <c r="B127" s="1"/>
      <c r="C127" s="1" t="s">
        <v>17</v>
      </c>
      <c r="D127" s="1" t="s">
        <v>21</v>
      </c>
      <c r="E127" s="1" t="s">
        <v>22</v>
      </c>
      <c r="F127" s="1" t="s">
        <v>23</v>
      </c>
      <c r="G127" s="1" t="s">
        <v>24</v>
      </c>
      <c r="H127" s="1" t="s">
        <v>25</v>
      </c>
      <c r="I127" s="1" t="s">
        <v>26</v>
      </c>
      <c r="J127" s="1" t="s">
        <v>27</v>
      </c>
      <c r="K127" s="1" t="s">
        <v>28</v>
      </c>
    </row>
    <row r="128" spans="2:11" ht="15.75" customHeight="1" thickBot="1" x14ac:dyDescent="0.25">
      <c r="B128" s="12" t="s">
        <v>116</v>
      </c>
      <c r="C128" s="6">
        <v>5</v>
      </c>
      <c r="D128">
        <v>1</v>
      </c>
      <c r="E128">
        <v>0</v>
      </c>
      <c r="F128">
        <v>0</v>
      </c>
      <c r="G128">
        <v>0</v>
      </c>
      <c r="H128">
        <v>3</v>
      </c>
      <c r="I128">
        <v>0</v>
      </c>
      <c r="J128">
        <v>1</v>
      </c>
      <c r="K128" s="5">
        <f>+D128+E128+F128+G128+H128+I128+J128</f>
        <v>5</v>
      </c>
    </row>
    <row r="129" spans="2:11" ht="15.75" customHeight="1" thickBot="1" x14ac:dyDescent="0.25">
      <c r="B129" s="12" t="s">
        <v>117</v>
      </c>
      <c r="C129" s="6">
        <v>4</v>
      </c>
      <c r="D129">
        <v>0</v>
      </c>
      <c r="E129">
        <v>1</v>
      </c>
      <c r="F129">
        <v>0</v>
      </c>
      <c r="G129">
        <v>2</v>
      </c>
      <c r="H129">
        <v>0</v>
      </c>
      <c r="I129">
        <v>0</v>
      </c>
      <c r="J129">
        <v>1</v>
      </c>
      <c r="K129" s="5">
        <f t="shared" ref="K129:K131" si="12">+D129+E129+F129+G129+H129+I129+J129</f>
        <v>4</v>
      </c>
    </row>
    <row r="130" spans="2:11" ht="15.75" customHeight="1" thickBot="1" x14ac:dyDescent="0.25">
      <c r="B130" s="12" t="s">
        <v>118</v>
      </c>
      <c r="C130" s="6">
        <v>2</v>
      </c>
      <c r="D130">
        <v>2</v>
      </c>
      <c r="E130">
        <v>0</v>
      </c>
      <c r="F130">
        <v>0</v>
      </c>
      <c r="G130">
        <v>0</v>
      </c>
      <c r="H130">
        <v>0</v>
      </c>
      <c r="I130">
        <v>0</v>
      </c>
      <c r="J130">
        <v>0</v>
      </c>
      <c r="K130" s="5">
        <f t="shared" si="12"/>
        <v>2</v>
      </c>
    </row>
    <row r="131" spans="2:11" ht="15.75" customHeight="1" thickBot="1" x14ac:dyDescent="0.25">
      <c r="B131" s="14" t="s">
        <v>119</v>
      </c>
      <c r="C131" s="6">
        <v>3</v>
      </c>
      <c r="D131">
        <v>0</v>
      </c>
      <c r="E131">
        <v>0</v>
      </c>
      <c r="F131">
        <v>0</v>
      </c>
      <c r="G131">
        <v>0</v>
      </c>
      <c r="H131">
        <v>0</v>
      </c>
      <c r="I131">
        <v>2</v>
      </c>
      <c r="J131">
        <v>1</v>
      </c>
      <c r="K131" s="5">
        <f t="shared" si="12"/>
        <v>3</v>
      </c>
    </row>
    <row r="132" spans="2:11" ht="15.75" customHeight="1" x14ac:dyDescent="0.2"/>
    <row r="133" spans="2:11" ht="15.75" customHeight="1" x14ac:dyDescent="0.4">
      <c r="B133" s="2" t="s">
        <v>29</v>
      </c>
      <c r="C133" s="3">
        <f>SUM(C128:C131)</f>
        <v>14</v>
      </c>
      <c r="D133" s="3">
        <f t="shared" ref="D133:J133" si="13">C133-SUM(D128:D131)</f>
        <v>11</v>
      </c>
      <c r="E133" s="4">
        <f t="shared" si="13"/>
        <v>10</v>
      </c>
      <c r="F133" s="3">
        <f t="shared" si="13"/>
        <v>10</v>
      </c>
      <c r="G133" s="3">
        <f t="shared" si="13"/>
        <v>8</v>
      </c>
      <c r="H133" s="3">
        <f t="shared" si="13"/>
        <v>5</v>
      </c>
      <c r="I133" s="3">
        <f t="shared" si="13"/>
        <v>3</v>
      </c>
      <c r="J133" s="3">
        <f t="shared" si="13"/>
        <v>0</v>
      </c>
    </row>
    <row r="134" spans="2:11" ht="15.75" customHeight="1" x14ac:dyDescent="0.4">
      <c r="B134" s="2" t="s">
        <v>30</v>
      </c>
      <c r="C134" s="3">
        <f>SUM(C128:C131)</f>
        <v>14</v>
      </c>
      <c r="D134" s="3">
        <f>C134-(SUM(C128:C131)/7)</f>
        <v>12</v>
      </c>
      <c r="E134" s="4">
        <f>D134-(SUM(C128:C131)/7)</f>
        <v>10</v>
      </c>
      <c r="F134" s="3">
        <f>E134-(SUM(C128:C131)/7)</f>
        <v>8</v>
      </c>
      <c r="G134" s="3">
        <f>F134-(SUM(C128:C131)/7)</f>
        <v>6</v>
      </c>
      <c r="H134" s="3">
        <f>G134-(SUM(C128:C131)/7)</f>
        <v>4</v>
      </c>
      <c r="I134" s="3">
        <f>H134-(SUM(C128:C131)/7)</f>
        <v>2</v>
      </c>
      <c r="J134" s="3">
        <f>I134-(SUM(C128:C131)/7)</f>
        <v>0</v>
      </c>
    </row>
    <row r="135" spans="2:11" ht="15.75" customHeight="1" x14ac:dyDescent="0.2"/>
    <row r="136" spans="2:11" ht="15.75" customHeight="1" x14ac:dyDescent="0.2"/>
    <row r="137" spans="2:11" ht="15.75" customHeight="1" x14ac:dyDescent="0.2">
      <c r="B137" s="56" t="s">
        <v>172</v>
      </c>
      <c r="C137" s="56"/>
      <c r="D137" s="56"/>
      <c r="E137" s="56"/>
      <c r="F137" s="56"/>
      <c r="G137" s="56"/>
    </row>
    <row r="138" spans="2:11" ht="15.75" customHeight="1" x14ac:dyDescent="0.2">
      <c r="B138" s="56"/>
      <c r="C138" s="56"/>
      <c r="D138" s="56"/>
      <c r="E138" s="56"/>
      <c r="F138" s="56"/>
      <c r="G138" s="56"/>
    </row>
    <row r="139" spans="2:11" ht="15.75" customHeight="1" x14ac:dyDescent="0.2">
      <c r="B139" s="56"/>
      <c r="C139" s="56"/>
      <c r="D139" s="56"/>
      <c r="E139" s="56"/>
      <c r="F139" s="56"/>
      <c r="G139" s="56"/>
    </row>
    <row r="140" spans="2:11" ht="15.75" customHeight="1" x14ac:dyDescent="0.2">
      <c r="B140" s="56"/>
      <c r="C140" s="56"/>
      <c r="D140" s="56"/>
      <c r="E140" s="56"/>
      <c r="F140" s="56"/>
      <c r="G140" s="56"/>
    </row>
    <row r="141" spans="2:11" ht="15.75" customHeight="1" x14ac:dyDescent="0.2">
      <c r="B141" s="56"/>
      <c r="C141" s="56"/>
      <c r="D141" s="56"/>
      <c r="E141" s="56"/>
      <c r="F141" s="56"/>
      <c r="G141" s="56"/>
    </row>
    <row r="142" spans="2:11" ht="15.75" customHeight="1" x14ac:dyDescent="0.2">
      <c r="B142" s="56"/>
      <c r="C142" s="56"/>
      <c r="D142" s="56"/>
      <c r="E142" s="56"/>
      <c r="F142" s="56"/>
      <c r="G142" s="56"/>
    </row>
    <row r="143" spans="2:11" ht="15.75" customHeight="1" x14ac:dyDescent="0.2">
      <c r="B143" s="56"/>
      <c r="C143" s="56"/>
      <c r="D143" s="56"/>
      <c r="E143" s="56"/>
      <c r="F143" s="56"/>
      <c r="G143" s="56"/>
    </row>
    <row r="144" spans="2:11" ht="15.75" customHeight="1" x14ac:dyDescent="0.2">
      <c r="B144" s="56"/>
      <c r="C144" s="56"/>
      <c r="D144" s="56"/>
      <c r="E144" s="56"/>
      <c r="F144" s="56"/>
      <c r="G144" s="56"/>
    </row>
    <row r="145" spans="1:22" ht="15.75" hidden="1" customHeight="1" x14ac:dyDescent="0.2"/>
    <row r="146" spans="1:22" ht="15.75" hidden="1" customHeight="1" x14ac:dyDescent="0.2">
      <c r="A146" s="57" t="s">
        <v>165</v>
      </c>
      <c r="B146" s="57"/>
      <c r="C146" s="57"/>
      <c r="D146" s="57"/>
      <c r="E146" s="57"/>
      <c r="F146" s="57"/>
      <c r="G146" s="57"/>
      <c r="H146" s="57"/>
      <c r="I146" s="57"/>
      <c r="J146" s="57"/>
      <c r="K146" s="57"/>
      <c r="L146" s="57"/>
      <c r="M146" s="57"/>
      <c r="N146" s="57"/>
      <c r="O146" s="57"/>
      <c r="P146" s="57"/>
      <c r="Q146" s="57"/>
      <c r="R146" s="57"/>
      <c r="S146" s="57"/>
      <c r="T146" s="57"/>
      <c r="U146" s="57"/>
      <c r="V146" s="57"/>
    </row>
    <row r="147" spans="1:22" ht="15.75" hidden="1" customHeight="1" x14ac:dyDescent="0.2">
      <c r="A147" s="57"/>
      <c r="B147" s="57"/>
      <c r="C147" s="57"/>
      <c r="D147" s="57"/>
      <c r="E147" s="57"/>
      <c r="F147" s="57"/>
      <c r="G147" s="57"/>
      <c r="H147" s="57"/>
      <c r="I147" s="57"/>
      <c r="J147" s="57"/>
      <c r="K147" s="57"/>
      <c r="L147" s="57"/>
      <c r="M147" s="57"/>
      <c r="N147" s="57"/>
      <c r="O147" s="57"/>
      <c r="P147" s="57"/>
      <c r="Q147" s="57"/>
      <c r="R147" s="57"/>
      <c r="S147" s="57"/>
      <c r="T147" s="57"/>
      <c r="U147" s="57"/>
      <c r="V147" s="57"/>
    </row>
    <row r="148" spans="1:22" ht="15.75" hidden="1" customHeight="1" x14ac:dyDescent="0.2"/>
    <row r="149" spans="1:22" ht="15.75" hidden="1" customHeight="1" x14ac:dyDescent="0.2"/>
    <row r="150" spans="1:22" ht="15.75" hidden="1" customHeight="1" thickBot="1" x14ac:dyDescent="0.25">
      <c r="B150" s="1"/>
      <c r="C150" s="1" t="s">
        <v>17</v>
      </c>
      <c r="D150" s="1" t="s">
        <v>21</v>
      </c>
      <c r="E150" s="1" t="s">
        <v>22</v>
      </c>
      <c r="F150" s="1" t="s">
        <v>23</v>
      </c>
      <c r="G150" s="1" t="s">
        <v>24</v>
      </c>
      <c r="H150" s="1" t="s">
        <v>25</v>
      </c>
      <c r="I150" s="1" t="s">
        <v>26</v>
      </c>
      <c r="J150" s="1" t="s">
        <v>27</v>
      </c>
      <c r="K150" s="1" t="s">
        <v>28</v>
      </c>
    </row>
    <row r="151" spans="1:22" ht="15.75" hidden="1" customHeight="1" thickBot="1" x14ac:dyDescent="0.25">
      <c r="B151" s="12" t="s">
        <v>127</v>
      </c>
      <c r="C151" s="6">
        <v>4</v>
      </c>
      <c r="D151">
        <v>1</v>
      </c>
      <c r="E151">
        <v>0</v>
      </c>
      <c r="F151">
        <v>0</v>
      </c>
      <c r="G151">
        <v>0</v>
      </c>
      <c r="H151">
        <v>2</v>
      </c>
      <c r="I151">
        <v>0</v>
      </c>
      <c r="J151">
        <v>1</v>
      </c>
      <c r="K151" s="5">
        <f>+D151+E151+F151+G151+H151+I151+J151</f>
        <v>4</v>
      </c>
    </row>
    <row r="152" spans="1:22" ht="15.75" hidden="1" customHeight="1" thickBot="1" x14ac:dyDescent="0.25">
      <c r="B152" s="12" t="s">
        <v>128</v>
      </c>
      <c r="C152" s="6">
        <v>4</v>
      </c>
      <c r="D152">
        <v>0</v>
      </c>
      <c r="E152">
        <v>1</v>
      </c>
      <c r="F152">
        <v>0</v>
      </c>
      <c r="G152">
        <v>2</v>
      </c>
      <c r="H152">
        <v>0</v>
      </c>
      <c r="I152">
        <v>0</v>
      </c>
      <c r="J152">
        <v>1</v>
      </c>
      <c r="K152" s="5">
        <f t="shared" ref="K152:K154" si="14">+D152+E152+F152+G152+H152+I152+J152</f>
        <v>4</v>
      </c>
    </row>
    <row r="153" spans="1:22" ht="15.75" hidden="1" customHeight="1" thickBot="1" x14ac:dyDescent="0.25">
      <c r="B153" s="12" t="s">
        <v>129</v>
      </c>
      <c r="C153" s="6">
        <v>2</v>
      </c>
      <c r="D153">
        <v>2</v>
      </c>
      <c r="E153">
        <v>0</v>
      </c>
      <c r="F153">
        <v>0</v>
      </c>
      <c r="G153">
        <v>0</v>
      </c>
      <c r="H153">
        <v>0</v>
      </c>
      <c r="I153">
        <v>0</v>
      </c>
      <c r="J153">
        <v>0</v>
      </c>
      <c r="K153" s="5">
        <f t="shared" si="14"/>
        <v>2</v>
      </c>
    </row>
    <row r="154" spans="1:22" ht="15.75" hidden="1" customHeight="1" thickBot="1" x14ac:dyDescent="0.25">
      <c r="B154" s="14" t="s">
        <v>130</v>
      </c>
      <c r="C154" s="6">
        <v>2</v>
      </c>
      <c r="D154">
        <v>0</v>
      </c>
      <c r="E154">
        <v>1</v>
      </c>
      <c r="F154">
        <v>0</v>
      </c>
      <c r="G154">
        <v>0</v>
      </c>
      <c r="H154">
        <v>0</v>
      </c>
      <c r="I154">
        <v>2</v>
      </c>
      <c r="J154">
        <v>1</v>
      </c>
      <c r="K154" s="5">
        <f t="shared" si="14"/>
        <v>4</v>
      </c>
    </row>
    <row r="155" spans="1:22" ht="15.75" hidden="1" customHeight="1" x14ac:dyDescent="0.2"/>
    <row r="156" spans="1:22" ht="15.75" hidden="1" customHeight="1" x14ac:dyDescent="0.4">
      <c r="B156" s="2" t="s">
        <v>29</v>
      </c>
      <c r="C156" s="3">
        <f>SUM(C151:C154)</f>
        <v>12</v>
      </c>
      <c r="D156" s="3">
        <f t="shared" ref="D156:J156" si="15">C156-SUM(D151:D154)</f>
        <v>9</v>
      </c>
      <c r="E156" s="4">
        <f t="shared" si="15"/>
        <v>7</v>
      </c>
      <c r="F156" s="3">
        <f t="shared" si="15"/>
        <v>7</v>
      </c>
      <c r="G156" s="3">
        <f t="shared" si="15"/>
        <v>5</v>
      </c>
      <c r="H156" s="3">
        <f t="shared" si="15"/>
        <v>3</v>
      </c>
      <c r="I156" s="3">
        <f t="shared" si="15"/>
        <v>1</v>
      </c>
      <c r="J156" s="3">
        <f t="shared" si="15"/>
        <v>-2</v>
      </c>
    </row>
    <row r="157" spans="1:22" ht="15.75" hidden="1" customHeight="1" x14ac:dyDescent="0.4">
      <c r="B157" s="2" t="s">
        <v>30</v>
      </c>
      <c r="C157" s="3">
        <f>SUM(C151:C154)</f>
        <v>12</v>
      </c>
      <c r="D157" s="3">
        <f>C157-(SUM(C151:C154)/7)</f>
        <v>10.285714285714286</v>
      </c>
      <c r="E157" s="4">
        <f>D157-(SUM(C151:C154)/7)</f>
        <v>8.571428571428573</v>
      </c>
      <c r="F157" s="3">
        <f>E157-(SUM(C151:C154)/7)</f>
        <v>6.8571428571428585</v>
      </c>
      <c r="G157" s="3">
        <f>F157-(SUM(C151:C154)/7)</f>
        <v>5.1428571428571441</v>
      </c>
      <c r="H157" s="3">
        <f>G157-(SUM(C151:C154)/7)</f>
        <v>3.4285714285714297</v>
      </c>
      <c r="I157" s="3">
        <f>H157-(SUM(C151:C154)/7)</f>
        <v>1.7142857142857155</v>
      </c>
      <c r="J157" s="3">
        <f>I157-(SUM(C151:C154)/7)</f>
        <v>0</v>
      </c>
    </row>
    <row r="158" spans="1:22" ht="15.75" hidden="1" customHeight="1" x14ac:dyDescent="0.2"/>
    <row r="159" spans="1:22" ht="15.75" hidden="1" customHeight="1" x14ac:dyDescent="0.2"/>
    <row r="160" spans="1:22" ht="15.75" hidden="1" customHeight="1" x14ac:dyDescent="0.2">
      <c r="B160" s="56" t="s">
        <v>173</v>
      </c>
      <c r="C160" s="56"/>
      <c r="D160" s="56"/>
      <c r="E160" s="56"/>
      <c r="F160" s="56"/>
      <c r="G160" s="56"/>
    </row>
    <row r="161" spans="2:11" ht="15.75" hidden="1" customHeight="1" x14ac:dyDescent="0.2">
      <c r="B161" s="56"/>
      <c r="C161" s="56"/>
      <c r="D161" s="56"/>
      <c r="E161" s="56"/>
      <c r="F161" s="56"/>
      <c r="G161" s="56"/>
    </row>
    <row r="162" spans="2:11" ht="15.75" hidden="1" customHeight="1" x14ac:dyDescent="0.2">
      <c r="B162" s="56"/>
      <c r="C162" s="56"/>
      <c r="D162" s="56"/>
      <c r="E162" s="56"/>
      <c r="F162" s="56"/>
      <c r="G162" s="56"/>
    </row>
    <row r="163" spans="2:11" ht="15.75" hidden="1" customHeight="1" x14ac:dyDescent="0.2">
      <c r="B163" s="56"/>
      <c r="C163" s="56"/>
      <c r="D163" s="56"/>
      <c r="E163" s="56"/>
      <c r="F163" s="56"/>
      <c r="G163" s="56"/>
    </row>
    <row r="164" spans="2:11" ht="15.75" hidden="1" customHeight="1" x14ac:dyDescent="0.2">
      <c r="B164" s="56"/>
      <c r="C164" s="56"/>
      <c r="D164" s="56"/>
      <c r="E164" s="56"/>
      <c r="F164" s="56"/>
      <c r="G164" s="56"/>
    </row>
    <row r="165" spans="2:11" ht="15.75" hidden="1" customHeight="1" x14ac:dyDescent="0.2">
      <c r="B165" s="56"/>
      <c r="C165" s="56"/>
      <c r="D165" s="56"/>
      <c r="E165" s="56"/>
      <c r="F165" s="56"/>
      <c r="G165" s="56"/>
    </row>
    <row r="166" spans="2:11" ht="15.75" hidden="1" customHeight="1" x14ac:dyDescent="0.2">
      <c r="B166" s="56"/>
      <c r="C166" s="56"/>
      <c r="D166" s="56"/>
      <c r="E166" s="56"/>
      <c r="F166" s="56"/>
      <c r="G166" s="56"/>
    </row>
    <row r="167" spans="2:11" ht="15.75" hidden="1" customHeight="1" x14ac:dyDescent="0.2">
      <c r="B167" s="56"/>
      <c r="C167" s="56"/>
      <c r="D167" s="56"/>
      <c r="E167" s="56"/>
      <c r="F167" s="56"/>
      <c r="G167" s="56"/>
    </row>
    <row r="168" spans="2:11" ht="15.75" hidden="1" customHeight="1" x14ac:dyDescent="0.2"/>
    <row r="169" spans="2:11" ht="15.75" hidden="1" customHeight="1" x14ac:dyDescent="0.2"/>
    <row r="170" spans="2:11" ht="15.75" hidden="1" customHeight="1" thickBot="1" x14ac:dyDescent="0.25">
      <c r="B170" s="1"/>
      <c r="C170" s="1" t="s">
        <v>17</v>
      </c>
      <c r="D170" s="1" t="s">
        <v>21</v>
      </c>
      <c r="E170" s="1" t="s">
        <v>22</v>
      </c>
      <c r="F170" s="1" t="s">
        <v>23</v>
      </c>
      <c r="G170" s="1" t="s">
        <v>24</v>
      </c>
      <c r="H170" s="1" t="s">
        <v>25</v>
      </c>
      <c r="I170" s="1" t="s">
        <v>26</v>
      </c>
      <c r="J170" s="1" t="s">
        <v>27</v>
      </c>
      <c r="K170" s="1" t="s">
        <v>28</v>
      </c>
    </row>
    <row r="171" spans="2:11" ht="15.75" hidden="1" customHeight="1" thickBot="1" x14ac:dyDescent="0.25">
      <c r="B171" s="12" t="s">
        <v>132</v>
      </c>
      <c r="C171" s="6">
        <v>5</v>
      </c>
      <c r="D171">
        <v>2</v>
      </c>
      <c r="E171">
        <v>0</v>
      </c>
      <c r="F171">
        <v>0</v>
      </c>
      <c r="G171">
        <v>0</v>
      </c>
      <c r="H171">
        <v>2</v>
      </c>
      <c r="I171">
        <v>0</v>
      </c>
      <c r="J171">
        <v>1</v>
      </c>
      <c r="K171" s="5">
        <f>+D171+E171+F171+G171+H171+I171+J171</f>
        <v>5</v>
      </c>
    </row>
    <row r="172" spans="2:11" ht="15.75" hidden="1" customHeight="1" thickBot="1" x14ac:dyDescent="0.25">
      <c r="B172" s="12" t="s">
        <v>133</v>
      </c>
      <c r="C172" s="6">
        <v>4</v>
      </c>
      <c r="D172">
        <v>0</v>
      </c>
      <c r="E172">
        <v>1</v>
      </c>
      <c r="F172">
        <v>0</v>
      </c>
      <c r="G172">
        <v>2</v>
      </c>
      <c r="H172">
        <v>0</v>
      </c>
      <c r="I172">
        <v>0</v>
      </c>
      <c r="J172">
        <v>1</v>
      </c>
      <c r="K172" s="5">
        <f t="shared" ref="K172:K174" si="16">+D172+E172+F172+G172+H172+I172+J172</f>
        <v>4</v>
      </c>
    </row>
    <row r="173" spans="2:11" ht="15.75" hidden="1" customHeight="1" thickBot="1" x14ac:dyDescent="0.25">
      <c r="B173" s="12" t="s">
        <v>134</v>
      </c>
      <c r="C173" s="6">
        <v>3</v>
      </c>
      <c r="D173">
        <v>2</v>
      </c>
      <c r="E173">
        <v>1</v>
      </c>
      <c r="F173">
        <v>0</v>
      </c>
      <c r="G173">
        <v>0</v>
      </c>
      <c r="H173">
        <v>0</v>
      </c>
      <c r="I173">
        <v>0</v>
      </c>
      <c r="J173">
        <v>0</v>
      </c>
      <c r="K173" s="5">
        <f t="shared" si="16"/>
        <v>3</v>
      </c>
    </row>
    <row r="174" spans="2:11" ht="15.75" hidden="1" customHeight="1" thickBot="1" x14ac:dyDescent="0.25">
      <c r="B174" s="14" t="s">
        <v>135</v>
      </c>
      <c r="C174" s="6">
        <v>2</v>
      </c>
      <c r="D174">
        <v>0</v>
      </c>
      <c r="E174">
        <v>0</v>
      </c>
      <c r="F174">
        <v>0</v>
      </c>
      <c r="G174">
        <v>1</v>
      </c>
      <c r="H174">
        <v>0</v>
      </c>
      <c r="I174">
        <v>0</v>
      </c>
      <c r="J174">
        <v>1</v>
      </c>
      <c r="K174" s="5">
        <f t="shared" si="16"/>
        <v>2</v>
      </c>
    </row>
    <row r="175" spans="2:11" ht="15.75" hidden="1" customHeight="1" x14ac:dyDescent="0.2"/>
    <row r="176" spans="2:11" ht="15.75" hidden="1" customHeight="1" x14ac:dyDescent="0.4">
      <c r="B176" s="2" t="s">
        <v>29</v>
      </c>
      <c r="C176" s="3">
        <f>SUM(C171:C174)</f>
        <v>14</v>
      </c>
      <c r="D176" s="3">
        <f t="shared" ref="D176:J176" si="17">C176-SUM(D171:D174)</f>
        <v>10</v>
      </c>
      <c r="E176" s="4">
        <f t="shared" si="17"/>
        <v>8</v>
      </c>
      <c r="F176" s="3">
        <f t="shared" si="17"/>
        <v>8</v>
      </c>
      <c r="G176" s="3">
        <f t="shared" si="17"/>
        <v>5</v>
      </c>
      <c r="H176" s="3">
        <f t="shared" si="17"/>
        <v>3</v>
      </c>
      <c r="I176" s="3">
        <f t="shared" si="17"/>
        <v>3</v>
      </c>
      <c r="J176" s="3">
        <f t="shared" si="17"/>
        <v>0</v>
      </c>
    </row>
    <row r="177" spans="2:11" ht="15.75" hidden="1" customHeight="1" x14ac:dyDescent="0.4">
      <c r="B177" s="2" t="s">
        <v>30</v>
      </c>
      <c r="C177" s="3">
        <f>SUM(C171:C174)</f>
        <v>14</v>
      </c>
      <c r="D177" s="3">
        <f>C177-(SUM(C171:C174)/7)</f>
        <v>12</v>
      </c>
      <c r="E177" s="4">
        <f>D177-(SUM(C171:C174)/7)</f>
        <v>10</v>
      </c>
      <c r="F177" s="3">
        <f>E177-(SUM(C171:C174)/7)</f>
        <v>8</v>
      </c>
      <c r="G177" s="3">
        <f>F177-(SUM(C171:C174)/7)</f>
        <v>6</v>
      </c>
      <c r="H177" s="3">
        <f>G177-(SUM(C171:C174)/7)</f>
        <v>4</v>
      </c>
      <c r="I177" s="3">
        <f>H177-(SUM(C171:C174)/7)</f>
        <v>2</v>
      </c>
      <c r="J177" s="3">
        <f>I177-(SUM(C171:C174)/7)</f>
        <v>0</v>
      </c>
    </row>
    <row r="178" spans="2:11" ht="15.75" hidden="1" customHeight="1" x14ac:dyDescent="0.2"/>
    <row r="179" spans="2:11" ht="15.75" hidden="1" customHeight="1" x14ac:dyDescent="0.2"/>
    <row r="180" spans="2:11" ht="15.75" hidden="1" customHeight="1" x14ac:dyDescent="0.2">
      <c r="B180" s="56" t="s">
        <v>174</v>
      </c>
      <c r="C180" s="56"/>
      <c r="D180" s="56"/>
      <c r="E180" s="56"/>
      <c r="F180" s="56"/>
      <c r="G180" s="56"/>
    </row>
    <row r="181" spans="2:11" ht="15.75" hidden="1" customHeight="1" x14ac:dyDescent="0.2">
      <c r="B181" s="56"/>
      <c r="C181" s="56"/>
      <c r="D181" s="56"/>
      <c r="E181" s="56"/>
      <c r="F181" s="56"/>
      <c r="G181" s="56"/>
    </row>
    <row r="182" spans="2:11" ht="15.75" hidden="1" customHeight="1" x14ac:dyDescent="0.2">
      <c r="B182" s="56"/>
      <c r="C182" s="56"/>
      <c r="D182" s="56"/>
      <c r="E182" s="56"/>
      <c r="F182" s="56"/>
      <c r="G182" s="56"/>
    </row>
    <row r="183" spans="2:11" ht="15.75" hidden="1" customHeight="1" x14ac:dyDescent="0.2">
      <c r="B183" s="56"/>
      <c r="C183" s="56"/>
      <c r="D183" s="56"/>
      <c r="E183" s="56"/>
      <c r="F183" s="56"/>
      <c r="G183" s="56"/>
    </row>
    <row r="184" spans="2:11" ht="15.75" hidden="1" customHeight="1" x14ac:dyDescent="0.2">
      <c r="B184" s="56"/>
      <c r="C184" s="56"/>
      <c r="D184" s="56"/>
      <c r="E184" s="56"/>
      <c r="F184" s="56"/>
      <c r="G184" s="56"/>
    </row>
    <row r="185" spans="2:11" ht="15.75" hidden="1" customHeight="1" x14ac:dyDescent="0.2">
      <c r="B185" s="56"/>
      <c r="C185" s="56"/>
      <c r="D185" s="56"/>
      <c r="E185" s="56"/>
      <c r="F185" s="56"/>
      <c r="G185" s="56"/>
    </row>
    <row r="186" spans="2:11" ht="15.75" hidden="1" customHeight="1" x14ac:dyDescent="0.2">
      <c r="B186" s="56"/>
      <c r="C186" s="56"/>
      <c r="D186" s="56"/>
      <c r="E186" s="56"/>
      <c r="F186" s="56"/>
      <c r="G186" s="56"/>
    </row>
    <row r="187" spans="2:11" ht="15.75" hidden="1" customHeight="1" x14ac:dyDescent="0.2">
      <c r="B187" s="56"/>
      <c r="C187" s="56"/>
      <c r="D187" s="56"/>
      <c r="E187" s="56"/>
      <c r="F187" s="56"/>
      <c r="G187" s="56"/>
    </row>
    <row r="188" spans="2:11" ht="15.75" hidden="1" customHeight="1" x14ac:dyDescent="0.2"/>
    <row r="189" spans="2:11" ht="15.75" hidden="1" customHeight="1" x14ac:dyDescent="0.2"/>
    <row r="190" spans="2:11" ht="15.75" hidden="1" customHeight="1" thickBot="1" x14ac:dyDescent="0.25">
      <c r="B190" s="1"/>
      <c r="C190" s="1" t="s">
        <v>17</v>
      </c>
      <c r="D190" s="1" t="s">
        <v>21</v>
      </c>
      <c r="E190" s="1" t="s">
        <v>22</v>
      </c>
      <c r="F190" s="1" t="s">
        <v>23</v>
      </c>
      <c r="G190" s="1" t="s">
        <v>24</v>
      </c>
      <c r="H190" s="1" t="s">
        <v>25</v>
      </c>
      <c r="I190" s="1" t="s">
        <v>26</v>
      </c>
      <c r="J190" s="1" t="s">
        <v>27</v>
      </c>
      <c r="K190" s="1" t="s">
        <v>28</v>
      </c>
    </row>
    <row r="191" spans="2:11" ht="15.75" hidden="1" customHeight="1" thickBot="1" x14ac:dyDescent="0.25">
      <c r="B191" s="12" t="s">
        <v>137</v>
      </c>
      <c r="C191" s="6">
        <v>4</v>
      </c>
      <c r="D191">
        <v>2</v>
      </c>
      <c r="E191">
        <v>0</v>
      </c>
      <c r="F191">
        <v>0</v>
      </c>
      <c r="G191">
        <v>0</v>
      </c>
      <c r="H191">
        <v>1</v>
      </c>
      <c r="I191">
        <v>0</v>
      </c>
      <c r="J191">
        <v>1</v>
      </c>
      <c r="K191" s="5">
        <f>+D191+E191+F191+G191+H191+I191+J191</f>
        <v>4</v>
      </c>
    </row>
    <row r="192" spans="2:11" ht="15.75" hidden="1" customHeight="1" thickBot="1" x14ac:dyDescent="0.25">
      <c r="B192" s="12" t="s">
        <v>138</v>
      </c>
      <c r="C192" s="6">
        <v>5</v>
      </c>
      <c r="D192">
        <v>1</v>
      </c>
      <c r="E192">
        <v>1</v>
      </c>
      <c r="F192">
        <v>0</v>
      </c>
      <c r="G192">
        <v>2</v>
      </c>
      <c r="H192">
        <v>0</v>
      </c>
      <c r="I192">
        <v>0</v>
      </c>
      <c r="J192">
        <v>1</v>
      </c>
      <c r="K192" s="5">
        <f t="shared" ref="K192:K194" si="18">+D192+E192+F192+G192+H192+I192+J192</f>
        <v>5</v>
      </c>
    </row>
    <row r="193" spans="2:11" ht="15.75" hidden="1" customHeight="1" thickBot="1" x14ac:dyDescent="0.25">
      <c r="B193" s="12" t="s">
        <v>139</v>
      </c>
      <c r="C193" s="6">
        <v>3</v>
      </c>
      <c r="D193">
        <v>2</v>
      </c>
      <c r="E193">
        <v>1</v>
      </c>
      <c r="F193">
        <v>0</v>
      </c>
      <c r="G193">
        <v>0</v>
      </c>
      <c r="H193">
        <v>0</v>
      </c>
      <c r="I193">
        <v>0</v>
      </c>
      <c r="J193">
        <v>0</v>
      </c>
      <c r="K193" s="5">
        <f t="shared" si="18"/>
        <v>3</v>
      </c>
    </row>
    <row r="194" spans="2:11" ht="15.75" hidden="1" customHeight="1" thickBot="1" x14ac:dyDescent="0.25">
      <c r="B194" s="14" t="s">
        <v>140</v>
      </c>
      <c r="C194" s="6">
        <v>2</v>
      </c>
      <c r="D194">
        <v>0</v>
      </c>
      <c r="E194">
        <v>0</v>
      </c>
      <c r="F194">
        <v>0</v>
      </c>
      <c r="G194">
        <v>1</v>
      </c>
      <c r="H194">
        <v>0</v>
      </c>
      <c r="I194">
        <v>0</v>
      </c>
      <c r="J194">
        <v>1</v>
      </c>
      <c r="K194" s="5">
        <f t="shared" si="18"/>
        <v>2</v>
      </c>
    </row>
    <row r="195" spans="2:11" ht="15.75" hidden="1" customHeight="1" x14ac:dyDescent="0.2"/>
    <row r="196" spans="2:11" ht="15.75" hidden="1" customHeight="1" x14ac:dyDescent="0.4">
      <c r="B196" s="2" t="s">
        <v>29</v>
      </c>
      <c r="C196" s="3">
        <f>SUM(C191:C194)</f>
        <v>14</v>
      </c>
      <c r="D196" s="3">
        <f t="shared" ref="D196:J196" si="19">C196-SUM(D191:D194)</f>
        <v>9</v>
      </c>
      <c r="E196" s="4">
        <f t="shared" si="19"/>
        <v>7</v>
      </c>
      <c r="F196" s="3">
        <f t="shared" si="19"/>
        <v>7</v>
      </c>
      <c r="G196" s="3">
        <f t="shared" si="19"/>
        <v>4</v>
      </c>
      <c r="H196" s="3">
        <f t="shared" si="19"/>
        <v>3</v>
      </c>
      <c r="I196" s="3">
        <f t="shared" si="19"/>
        <v>3</v>
      </c>
      <c r="J196" s="3">
        <f t="shared" si="19"/>
        <v>0</v>
      </c>
    </row>
    <row r="197" spans="2:11" ht="15.75" hidden="1" customHeight="1" x14ac:dyDescent="0.4">
      <c r="B197" s="2" t="s">
        <v>30</v>
      </c>
      <c r="C197" s="3">
        <f>SUM(C191:C194)</f>
        <v>14</v>
      </c>
      <c r="D197" s="3">
        <f>C197-(SUM(C191:C194)/7)</f>
        <v>12</v>
      </c>
      <c r="E197" s="4">
        <f>D197-(SUM(C191:C194)/7)</f>
        <v>10</v>
      </c>
      <c r="F197" s="3">
        <f>E197-(SUM(C191:C194)/7)</f>
        <v>8</v>
      </c>
      <c r="G197" s="3">
        <f>F197-(SUM(C191:C194)/7)</f>
        <v>6</v>
      </c>
      <c r="H197" s="3">
        <f>G197-(SUM(C191:C194)/7)</f>
        <v>4</v>
      </c>
      <c r="I197" s="3">
        <f>H197-(SUM(C191:C194)/7)</f>
        <v>2</v>
      </c>
      <c r="J197" s="3">
        <f>I197-(SUM(C191:C194)/7)</f>
        <v>0</v>
      </c>
    </row>
    <row r="198" spans="2:11" ht="15.75" hidden="1" customHeight="1" x14ac:dyDescent="0.2"/>
    <row r="199" spans="2:11" ht="15.75" hidden="1" customHeight="1" x14ac:dyDescent="0.2"/>
    <row r="200" spans="2:11" ht="15.75" hidden="1" customHeight="1" x14ac:dyDescent="0.2">
      <c r="B200" s="56" t="s">
        <v>175</v>
      </c>
      <c r="C200" s="56"/>
      <c r="D200" s="56"/>
      <c r="E200" s="56"/>
      <c r="F200" s="56"/>
      <c r="G200" s="56"/>
    </row>
    <row r="201" spans="2:11" ht="15.75" hidden="1" customHeight="1" x14ac:dyDescent="0.2">
      <c r="B201" s="56"/>
      <c r="C201" s="56"/>
      <c r="D201" s="56"/>
      <c r="E201" s="56"/>
      <c r="F201" s="56"/>
      <c r="G201" s="56"/>
    </row>
    <row r="202" spans="2:11" ht="15.75" hidden="1" customHeight="1" x14ac:dyDescent="0.2">
      <c r="B202" s="56"/>
      <c r="C202" s="56"/>
      <c r="D202" s="56"/>
      <c r="E202" s="56"/>
      <c r="F202" s="56"/>
      <c r="G202" s="56"/>
    </row>
    <row r="203" spans="2:11" ht="15.75" hidden="1" customHeight="1" x14ac:dyDescent="0.2">
      <c r="B203" s="56"/>
      <c r="C203" s="56"/>
      <c r="D203" s="56"/>
      <c r="E203" s="56"/>
      <c r="F203" s="56"/>
      <c r="G203" s="56"/>
    </row>
    <row r="204" spans="2:11" ht="15.75" hidden="1" customHeight="1" x14ac:dyDescent="0.2">
      <c r="B204" s="56"/>
      <c r="C204" s="56"/>
      <c r="D204" s="56"/>
      <c r="E204" s="56"/>
      <c r="F204" s="56"/>
      <c r="G204" s="56"/>
    </row>
    <row r="205" spans="2:11" ht="15.75" hidden="1" customHeight="1" x14ac:dyDescent="0.2">
      <c r="B205" s="56"/>
      <c r="C205" s="56"/>
      <c r="D205" s="56"/>
      <c r="E205" s="56"/>
      <c r="F205" s="56"/>
      <c r="G205" s="56"/>
    </row>
    <row r="206" spans="2:11" ht="15.75" hidden="1" customHeight="1" x14ac:dyDescent="0.2">
      <c r="B206" s="56"/>
      <c r="C206" s="56"/>
      <c r="D206" s="56"/>
      <c r="E206" s="56"/>
      <c r="F206" s="56"/>
      <c r="G206" s="56"/>
    </row>
    <row r="207" spans="2:11" ht="15.75" hidden="1" customHeight="1" x14ac:dyDescent="0.2">
      <c r="B207" s="56"/>
      <c r="C207" s="56"/>
      <c r="D207" s="56"/>
      <c r="E207" s="56"/>
      <c r="F207" s="56"/>
      <c r="G207" s="56"/>
    </row>
    <row r="208" spans="2:11" ht="15.75" hidden="1"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sheetData>
  <mergeCells count="13">
    <mergeCell ref="A146:V147"/>
    <mergeCell ref="B137:G144"/>
    <mergeCell ref="B160:G167"/>
    <mergeCell ref="B180:G187"/>
    <mergeCell ref="B200:G207"/>
    <mergeCell ref="B73:G80"/>
    <mergeCell ref="A2:V3"/>
    <mergeCell ref="A83:V84"/>
    <mergeCell ref="B97:G104"/>
    <mergeCell ref="B117:G124"/>
    <mergeCell ref="B16:G23"/>
    <mergeCell ref="B35:G42"/>
    <mergeCell ref="B54:G61"/>
  </mergeCells>
  <pageMargins left="0.7" right="0.7" top="0.75" bottom="0.75"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Backlog</vt:lpstr>
      <vt:lpstr>sprint1</vt:lpstr>
      <vt:lpstr>sprint2</vt:lpstr>
      <vt:lpstr>sprint3</vt:lpstr>
      <vt:lpstr>burdonchart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CRISTIAN DAVID SUQUILLO AYO</cp:lastModifiedBy>
  <dcterms:created xsi:type="dcterms:W3CDTF">2023-01-13T00:08:30Z</dcterms:created>
  <dcterms:modified xsi:type="dcterms:W3CDTF">2026-06-29T03:05:22Z</dcterms:modified>
</cp:coreProperties>
</file>