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13_ncr:1_{51A79D3C-9305-4889-B7A0-CAED6D7B9A95}" xr6:coauthVersionLast="47" xr6:coauthVersionMax="47" xr10:uidLastSave="{00000000-0000-0000-0000-000000000000}"/>
  <workbookProtection lockStructure="1"/>
  <bookViews>
    <workbookView xWindow="-120" yWindow="-120" windowWidth="20730" windowHeight="1104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B2" i="3" s="1"/>
  <c r="B2" i="1" s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F2" i="3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D45" i="5" s="1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<sst xmlns="http://schemas.openxmlformats.org/spreadsheetml/2006/main" count="339" uniqueCount="253">
  <si>
    <t>^</t>
  </si>
  <si>
    <t>KANBAN</t>
  </si>
  <si>
    <t>EN ESPERA</t>
  </si>
  <si>
    <t>IMPORTANTE</t>
  </si>
  <si>
    <t>COMPLETADO</t>
  </si>
  <si>
    <t>URGENTE</t>
  </si>
  <si>
    <t>EN PROGRESO</t>
  </si>
  <si>
    <t>NORMAL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</si>
  <si>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</si>
  <si>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</si>
  <si>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</si>
  <si>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</si>
  <si>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</si>
  <si>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</si>
  <si>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</si>
  <si>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</si>
  <si>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</si>
  <si>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</si>
  <si>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</si>
  <si>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</si>
  <si>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</si>
  <si>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</si>
  <si>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</si>
  <si>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</si>
  <si>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</si>
  <si>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</si>
  <si>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</si>
  <si>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</si>
  <si>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</si>
  <si>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</si>
  <si>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</si>
  <si>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</si>
  <si>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</si>
  <si>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</si>
  <si>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</si>
  <si>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</si>
  <si>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</si>
  <si>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</si>
  <si>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</si>
  <si>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</si>
  <si>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</si>
  <si>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</si>
  <si>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</si>
  <si>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</si>
  <si>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</si>
  <si>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</si>
  <si>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</si>
  <si>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</si>
  <si>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</si>
  <si>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</si>
  <si>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</si>
  <si>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</si>
  <si>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</si>
  <si>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</si>
  <si>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</si>
  <si>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</si>
  <si>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</si>
  <si>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</si>
  <si>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</si>
  <si>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</si>
  <si>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</si>
  <si>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</si>
  <si>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</si>
  <si>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</si>
  <si>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</si>
  <si>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</si>
  <si>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</si>
  <si>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</si>
  <si>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</si>
  <si>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</si>
  <si>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</si>
  <si>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</si>
  <si>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</si>
  <si>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</si>
  <si>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</si>
  <si>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</si>
  <si>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</si>
  <si>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</si>
  <si>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</si>
  <si>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</si>
  <si>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</si>
  <si>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</si>
  <si>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</si>
  <si>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</si>
  <si>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</si>
  <si>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</si>
  <si>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</si>
  <si>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</si>
  <si>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</si>
  <si>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</si>
  <si>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</si>
  <si>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</si>
  <si>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</si>
  <si>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</si>
  <si>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</si>
  <si>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</si>
  <si>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</si>
  <si>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</si>
  <si>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</si>
  <si>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</si>
  <si>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</si>
  <si>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</si>
  <si>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</si>
  <si>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</si>
  <si>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</si>
  <si>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</si>
  <si>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</si>
  <si>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</si>
  <si>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</si>
  <si>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</si>
  <si>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</si>
  <si>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</si>
  <si>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</si>
  <si>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</si>
  <si>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</si>
  <si>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</si>
  <si>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</si>
  <si>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</si>
  <si>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</si>
  <si>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</si>
  <si>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</si>
  <si>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</si>
  <si>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</si>
  <si>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</si>
  <si>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</si>
  <si>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</si>
  <si>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</si>
  <si>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</si>
  <si>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</si>
  <si>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</si>
  <si>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</si>
  <si>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</si>
  <si>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</si>
  <si>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</si>
  <si>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</si>
  <si>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</si>
  <si>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</si>
  <si>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</si>
  <si>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</si>
  <si>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</si>
  <si>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</si>
  <si>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</si>
  <si>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</si>
  <si>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</si>
  <si>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</si>
  <si>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</si>
  <si>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</si>
  <si>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</si>
  <si>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</si>
  <si>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</si>
  <si>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</si>
  <si>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</si>
  <si>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</si>
  <si>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</si>
  <si>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</si>
  <si>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</si>
  <si>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</si>
  <si>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</si>
  <si>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</si>
  <si>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</si>
  <si>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</si>
  <si>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</si>
  <si>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</si>
  <si>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</si>
  <si>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</si>
  <si>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</si>
  <si>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</si>
  <si>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</si>
  <si>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</si>
  <si>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</si>
  <si>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</si>
  <si>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</si>
  <si>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</si>
  <si>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</si>
  <si>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</si>
  <si>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</si>
  <si>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</si>
  <si>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</si>
  <si>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</si>
  <si>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</si>
  <si>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</si>
  <si>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</si>
  <si>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</si>
  <si>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</si>
  <si>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</si>
  <si>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</si>
  <si>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</si>
  <si>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</si>
  <si>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</si>
  <si>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</si>
  <si>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</si>
  <si>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</si>
  <si>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</si>
  <si>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</si>
  <si>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</si>
  <si>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</si>
  <si>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</si>
  <si>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</si>
  <si>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</si>
  <si>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</si>
  <si>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</si>
  <si>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</si>
  <si>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</si>
  <si>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</si>
  <si>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</si>
  <si>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</si>
  <si>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</si>
  <si>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</si>
  <si>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</si>
  <si>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</si>
  <si>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</si>
  <si>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</si>
  <si>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</si>
  <si>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</si>
  <si>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</si>
  <si>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</si>
  <si>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Melanie Zuñiga</t>
  </si>
  <si>
    <t>Cristian Suquillo</t>
  </si>
  <si>
    <t>Paul Villacis</t>
  </si>
  <si>
    <t>Joshep Chisaguano</t>
  </si>
  <si>
    <t>Chisaguano, Suquillo, Villacis, Zuñiga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</si>
  <si>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</si>
  <si>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</si>
  <si>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</si>
  <si>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</si>
  <si>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Inicializacion del Sprint1</t>
  </si>
  <si>
    <t>Maquetado del REQ001</t>
  </si>
  <si>
    <t>Maquetado del REQ002</t>
  </si>
  <si>
    <t>Maquetado del REQ003</t>
  </si>
  <si>
    <t>Maquetado del REQ004</t>
  </si>
  <si>
    <t>Presentacion del primer versionamiento del sistema al administrador</t>
  </si>
  <si>
    <t>Correccion del primer versionamiento</t>
  </si>
  <si>
    <t xml:space="preserve">Comienzo  de los primeros cuatros requisitos en Jira 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</si>
  <si>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</si>
  <si>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</si>
  <si>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</si>
  <si>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</si>
  <si>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Revision de la primera version del sistema mostrada al administrador</t>
  </si>
  <si>
    <t>Modificacion al sistema de acorde a las retroalimentaciones dadas por el adminstrador</t>
  </si>
  <si>
    <t>Creación del REQ005 - Registro de alícuotas en Jira</t>
  </si>
  <si>
    <t>Creación del REQ006 - Gestión de arriendos en Jira</t>
  </si>
  <si>
    <t>Inicializacion del Sprint2</t>
  </si>
  <si>
    <t xml:space="preserve">Comienzo  de los siguientes 3 requisitos en Jira </t>
  </si>
  <si>
    <t>Creación del REQ007 - Registro de multas</t>
  </si>
  <si>
    <t>Maquetado del REQ005</t>
  </si>
  <si>
    <t>Maquetado del REQ006</t>
  </si>
  <si>
    <t xml:space="preserve">Maquetado del REQ007 </t>
  </si>
  <si>
    <t>Presentacion del segundo versionamiento del sistema al administrador</t>
  </si>
  <si>
    <t>Correccion del segundo versionamiento</t>
  </si>
  <si>
    <t>Presentacion de la interfaz del REQ005</t>
  </si>
  <si>
    <t>Presentacion de la interfaz del REQ006</t>
  </si>
  <si>
    <t>Presentacion de la interfaz del REQ007</t>
  </si>
  <si>
    <t>Revision de la segunda version del sistema mostrada al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</si>
</sst>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N13" sqref="N13:O13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20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20)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(1 de 20)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20)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(19 de 20)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20)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20)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20)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20)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20)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20)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20: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Correccion del segundo versionamiento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19: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Presentacion del segundo versionamiento del sistema al administrador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Modificacion al sistema de acorde a las retroalimentaciones dadas por el adminstrador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Revision de la segunda version del sistema mostrada al administrador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46195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46192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46199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46192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46199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46192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Chisaguano, Suquillo, Villacis, Zuñiga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Chisaguano, Suquillo, Villacis, Zuñiga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18: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Maquetado del REQ007 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Presentacion de la interfaz del REQ007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46190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46190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46190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Joshep Chisaguano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17: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Maquetado del REQ006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Presentacion de la interfaz del REQ006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46190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46190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46190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Melanie Zuñiga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16: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Maquetado del REQ005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Presentacion de la interfaz del REQ005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46190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46190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46190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Suquillo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15: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Inicializacion del Sprint2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Comienzo  de los siguientes 3 requisitos en Jira 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46178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46189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46189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Paul Villacis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14: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Creación del REQ007 - Registro de multas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46183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46183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Joshep Chisaguano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13: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Creación del REQ006 - Gestión de arriendos en Jira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46183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46183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Melanie Zuñiga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12: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Creación del REQ005 - Registro de alícuotas en Jira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46183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46183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Suquillo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11: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Correccion del primer versionamiento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Modificacion al sistema de acorde a las retroalimentaciones dadas por el adminstrador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46178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46182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46182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Chisaguano, Suquillo, Villacis, Zuñiga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10: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Presentacion del primer versionamiento del sistema al administrador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Revision de la primera version del sistema mostrada al administrador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46177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46177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46177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Chisaguano, Suquillo, Villacis, Zuñiga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9: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Maquetado del REQ004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Presentacion de la interfaz del REQ004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46173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46173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46173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Joshep Chisaguano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8: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Maquetado del REQ003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Presentacion de la interfaz del REQ003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46173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46173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46173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Paul Villacis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7: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Maquetado del REQ002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Presentacion de la interfaz del REQ002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46173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46173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46173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Melanie Zuñiga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6: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Maquetado del REQ001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Presentacion de la interfaz del REQ001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46173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46173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46173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Cristian Suquillo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5: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Inicializacion del Sprint1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Comienzo  de los primeros cuatros requisitos en Jira 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46169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46183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46183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15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Paul Villacis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4: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Creación del REQ004- Busqueda de Residentes en Jira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46170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46170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46170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Paul Villacis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3: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Creación del REQ003- Registro de residentes en Jira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46170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46170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46170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Joshep Chisaguano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2: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Creación del REQ002- Gestion de Modulos en Jira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46170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46170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46170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Melanie Zuñiga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Creación del REQ001- Ingreso al sistema en Jira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46169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46170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46170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Cristian Suquillo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Normal="100" workbookViewId="0">
      <pane ySplit="1" topLeftCell="A12" activePane="bottomLeft" state="frozen"/>
      <selection pane="bottomLeft" activeCell="D23" sqref="D23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4</v>
      </c>
      <c r="B2" s="92" t="s">
        <v>3</v>
      </c>
      <c r="C2" s="104" t="s">
        <v>221</v>
      </c>
      <c r="D2" s="102"/>
      <c r="E2" s="103">
        <v>46169</v>
      </c>
      <c r="F2" s="93">
        <v>46170</v>
      </c>
      <c r="G2" s="93">
        <v>46170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25">
      <c r="A3" s="94" t="s">
        <v>4</v>
      </c>
      <c r="B3" s="95" t="s">
        <v>3</v>
      </c>
      <c r="C3" s="3" t="s">
        <v>222</v>
      </c>
      <c r="D3" s="104"/>
      <c r="E3" s="105">
        <v>46170</v>
      </c>
      <c r="F3" s="96">
        <v>46170</v>
      </c>
      <c r="G3" s="96">
        <v>46170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4</v>
      </c>
      <c r="B4" s="92" t="s">
        <v>3</v>
      </c>
      <c r="C4" s="92" t="s">
        <v>223</v>
      </c>
      <c r="D4" s="92"/>
      <c r="E4" s="103">
        <v>46170</v>
      </c>
      <c r="F4" s="93">
        <v>46170</v>
      </c>
      <c r="G4" s="93">
        <v>46170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4</v>
      </c>
      <c r="B5" s="95" t="s">
        <v>3</v>
      </c>
      <c r="C5" s="3" t="s">
        <v>224</v>
      </c>
      <c r="D5" s="95"/>
      <c r="E5" s="96">
        <v>46170</v>
      </c>
      <c r="F5" s="96">
        <v>46170</v>
      </c>
      <c r="G5" s="96">
        <v>46170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4</v>
      </c>
      <c r="B6" s="92" t="s">
        <v>5</v>
      </c>
      <c r="C6" s="107" t="s">
        <v>225</v>
      </c>
      <c r="D6" s="102" t="s">
        <v>232</v>
      </c>
      <c r="E6" s="93">
        <v>46169</v>
      </c>
      <c r="F6" s="93">
        <v>46183</v>
      </c>
      <c r="G6" s="93">
        <v>46183</v>
      </c>
      <c r="H6" s="43" t="str">
        <f>IF(Datos!$G6&gt;0,Datos!$G6-Datos!$E6+1 &amp; " " &amp; Idiomas!$A$29,"")</f>
        <v>15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4</v>
      </c>
      <c r="B7" s="95" t="s">
        <v>3</v>
      </c>
      <c r="C7" s="106" t="s">
        <v>226</v>
      </c>
      <c r="D7" s="95" t="s">
        <v>233</v>
      </c>
      <c r="E7" s="96">
        <v>46173</v>
      </c>
      <c r="F7" s="96">
        <v>46173</v>
      </c>
      <c r="G7" s="96">
        <v>46173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4</v>
      </c>
      <c r="B8" s="92" t="s">
        <v>3</v>
      </c>
      <c r="C8" s="109" t="s">
        <v>227</v>
      </c>
      <c r="D8" s="102" t="s">
        <v>234</v>
      </c>
      <c r="E8" s="110">
        <v>46173</v>
      </c>
      <c r="F8" s="93">
        <v>46173</v>
      </c>
      <c r="G8" s="110">
        <v>46173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4</v>
      </c>
      <c r="B9" s="95" t="s">
        <v>3</v>
      </c>
      <c r="C9" s="106" t="s">
        <v>228</v>
      </c>
      <c r="D9" s="95" t="s">
        <v>235</v>
      </c>
      <c r="E9" s="96">
        <v>46173</v>
      </c>
      <c r="F9" s="96">
        <v>46173</v>
      </c>
      <c r="G9" s="96">
        <v>46173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4</v>
      </c>
      <c r="B10" s="92" t="s">
        <v>3</v>
      </c>
      <c r="C10" s="107" t="s">
        <v>229</v>
      </c>
      <c r="D10" s="92" t="s">
        <v>236</v>
      </c>
      <c r="E10" s="93">
        <v>46173</v>
      </c>
      <c r="F10" s="93">
        <v>46173</v>
      </c>
      <c r="G10" s="93">
        <v>46173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4</v>
      </c>
      <c r="B11" s="95" t="s">
        <v>5</v>
      </c>
      <c r="C11" s="106" t="s">
        <v>230</v>
      </c>
      <c r="D11" s="95" t="s">
        <v>237</v>
      </c>
      <c r="E11" s="97">
        <v>46177</v>
      </c>
      <c r="F11" s="96">
        <v>46177</v>
      </c>
      <c r="G11" s="96">
        <v>46177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4</v>
      </c>
      <c r="B12" s="92" t="s">
        <v>5</v>
      </c>
      <c r="C12" s="107" t="s">
        <v>231</v>
      </c>
      <c r="D12" s="102" t="s">
        <v>238</v>
      </c>
      <c r="E12" s="98">
        <v>46178</v>
      </c>
      <c r="F12" s="93">
        <v>46182</v>
      </c>
      <c r="G12" s="93">
        <v>46182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220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4</v>
      </c>
      <c r="B13" s="95" t="s">
        <v>3</v>
      </c>
      <c r="C13" s="108" t="s">
        <v>239</v>
      </c>
      <c r="D13" s="104"/>
      <c r="E13" s="96">
        <v>46183</v>
      </c>
      <c r="F13" s="96">
        <v>46183</v>
      </c>
      <c r="G13" s="96">
        <v>46183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217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4</v>
      </c>
      <c r="B14" s="92" t="s">
        <v>3</v>
      </c>
      <c r="C14" s="107" t="s">
        <v>240</v>
      </c>
      <c r="D14" s="102"/>
      <c r="E14" s="110">
        <v>46183</v>
      </c>
      <c r="F14" s="93">
        <v>46183</v>
      </c>
      <c r="G14" s="110">
        <v>46183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4</v>
      </c>
      <c r="B15" s="95" t="s">
        <v>3</v>
      </c>
      <c r="C15" s="106" t="s">
        <v>243</v>
      </c>
      <c r="D15" s="95"/>
      <c r="E15" s="111">
        <v>46183</v>
      </c>
      <c r="F15" s="96">
        <v>46183</v>
      </c>
      <c r="G15" s="111">
        <v>46183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4</v>
      </c>
      <c r="B16" s="92" t="s">
        <v>5</v>
      </c>
      <c r="C16" s="112" t="s">
        <v>241</v>
      </c>
      <c r="D16" s="102" t="s">
        <v>242</v>
      </c>
      <c r="E16" s="110">
        <v>46178</v>
      </c>
      <c r="F16" s="110">
        <v>46189</v>
      </c>
      <c r="G16" s="110">
        <v>46189</v>
      </c>
      <c r="H16" s="43" t="str">
        <f>IF(Datos!$G16&gt;0,Datos!$G16-Datos!$E16+1 &amp; " " &amp; Idiomas!$A$29,"")</f>
        <v>12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4</v>
      </c>
      <c r="B17" s="95" t="s">
        <v>3</v>
      </c>
      <c r="C17" s="106" t="s">
        <v>244</v>
      </c>
      <c r="D17" s="104" t="s">
        <v>249</v>
      </c>
      <c r="E17" s="111">
        <v>46190</v>
      </c>
      <c r="F17" s="96">
        <v>46190</v>
      </c>
      <c r="G17" s="96">
        <v>46190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217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4</v>
      </c>
      <c r="B18" s="92" t="s">
        <v>3</v>
      </c>
      <c r="C18" s="109" t="s">
        <v>245</v>
      </c>
      <c r="D18" s="92" t="s">
        <v>250</v>
      </c>
      <c r="E18" s="110">
        <v>46190</v>
      </c>
      <c r="F18" s="110">
        <v>46190</v>
      </c>
      <c r="G18" s="110">
        <v>46190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216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4</v>
      </c>
      <c r="B19" s="95" t="s">
        <v>3</v>
      </c>
      <c r="C19" s="106" t="s">
        <v>246</v>
      </c>
      <c r="D19" s="95" t="s">
        <v>251</v>
      </c>
      <c r="E19" s="111">
        <v>46190</v>
      </c>
      <c r="F19" s="111">
        <v>46190</v>
      </c>
      <c r="G19" s="111">
        <v>46190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219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4</v>
      </c>
      <c r="B20" s="92" t="s">
        <v>5</v>
      </c>
      <c r="C20" s="109" t="s">
        <v>247</v>
      </c>
      <c r="D20" s="92" t="s">
        <v>252</v>
      </c>
      <c r="E20" s="110">
        <v>46192</v>
      </c>
      <c r="F20" s="110">
        <v>46192</v>
      </c>
      <c r="G20" s="110">
        <v>46192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220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5" x14ac:dyDescent="0.25">
      <c r="A21" s="94" t="s">
        <v>6</v>
      </c>
      <c r="B21" s="95" t="s">
        <v>5</v>
      </c>
      <c r="C21" s="108" t="s">
        <v>248</v>
      </c>
      <c r="D21" s="104" t="s">
        <v>238</v>
      </c>
      <c r="E21" s="111">
        <v>46195</v>
      </c>
      <c r="F21" s="111">
        <v>46199</v>
      </c>
      <c r="G21" s="111">
        <v>46199</v>
      </c>
      <c r="H21" s="45" t="str">
        <f>IF(Datos!$G21&gt;0,Datos!$G21-Datos!$E21+1 &amp; " " &amp; Idiomas!$A$29,"")</f>
        <v>5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220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25">
      <c r="A85" s="94"/>
      <c r="B85" s="95"/>
      <c r="C85" s="104"/>
      <c r="D85" s="104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8" workbookViewId="0">
      <selection activeCell="F6" sqref="F6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10</v>
      </c>
      <c r="F3" s="120" t="s">
        <v>11</v>
      </c>
      <c r="G3" s="120"/>
      <c r="H3" s="120"/>
    </row>
    <row r="4" spans="2:9" x14ac:dyDescent="0.25">
      <c r="B4" s="89" t="str">
        <f>Idiomas!$A$3</f>
        <v>Idioma</v>
      </c>
      <c r="E4" s="8" t="s">
        <v>12</v>
      </c>
      <c r="F4" s="121" t="s">
        <v>13</v>
      </c>
      <c r="G4" s="121"/>
      <c r="H4" s="121"/>
    </row>
    <row r="5" spans="2:9" ht="15" customHeight="1" x14ac:dyDescent="0.25">
      <c r="B5" s="90" t="s">
        <v>14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15</v>
      </c>
    </row>
    <row r="9" spans="2:9" x14ac:dyDescent="0.25">
      <c r="B9" s="75" t="s">
        <v>8</v>
      </c>
      <c r="D9" s="72" t="s">
        <v>5</v>
      </c>
      <c r="F9" s="68" t="s">
        <v>216</v>
      </c>
      <c r="H9" s="66" t="str">
        <f>Idiomas!$A$12</f>
        <v>Tarea</v>
      </c>
      <c r="I9" s="85">
        <v>1</v>
      </c>
    </row>
    <row r="10" spans="2:9" x14ac:dyDescent="0.25">
      <c r="B10" s="76" t="s">
        <v>6</v>
      </c>
      <c r="D10" s="73" t="s">
        <v>3</v>
      </c>
      <c r="F10" s="69" t="s">
        <v>217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7</v>
      </c>
      <c r="F11" s="70" t="s">
        <v>218</v>
      </c>
      <c r="H11" s="79" t="str">
        <f>Idiomas!$A$14</f>
        <v>Inicio</v>
      </c>
      <c r="I11" s="86">
        <v>3</v>
      </c>
    </row>
    <row r="12" spans="2:9" x14ac:dyDescent="0.25">
      <c r="B12" s="76" t="s">
        <v>4</v>
      </c>
      <c r="F12" s="69" t="s">
        <v>219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16</v>
      </c>
      <c r="F13" s="70" t="s">
        <v>220</v>
      </c>
      <c r="H13" s="79" t="str">
        <f>Idiomas!$A$16</f>
        <v>Final</v>
      </c>
      <c r="I13" s="86">
        <v>5</v>
      </c>
    </row>
    <row r="14" spans="2:9" x14ac:dyDescent="0.25">
      <c r="B14" s="76" t="s">
        <v>8</v>
      </c>
      <c r="F14" s="68" t="s">
        <v>215</v>
      </c>
      <c r="H14" s="67" t="str">
        <f>Idiomas!$A$17</f>
        <v>Duración</v>
      </c>
      <c r="I14" s="87">
        <v>6</v>
      </c>
    </row>
    <row r="15" spans="2:9" x14ac:dyDescent="0.25">
      <c r="B15" s="77" t="s">
        <v>6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17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18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R-168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R-168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R168:R175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R159:R166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R-150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R-150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R150:R157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R-141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R-141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R141:R148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R-132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R-132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R132:R139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R-123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R-123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R123:R130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R-114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R-114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R114:R121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R-105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R-105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R105:R112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R-96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R-96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R96:R103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R-87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R-87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R87:R94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R-78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R-78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R78:R85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R-69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R-69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R69:R76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R-60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R-60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R60:R67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R-51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R-51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R51:R58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R-42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R-42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R42:R49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R-33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R-33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R33:R40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R-24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R-24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R24:R31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R-15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R15:R22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R-6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R-6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R6:R13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2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>H-6</v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H-6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H6:H13</v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20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20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20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20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20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20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20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20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20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18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18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>
        <f ca="1"/>
        <v>20</v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9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9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9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9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9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9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9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9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9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8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8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8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8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8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8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8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8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8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14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2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2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2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2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2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2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2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2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2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2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2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2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2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2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2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2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2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CRISTIAN DAVID SUQUILLO AYO</cp:lastModifiedBy>
  <cp:revision>0</cp:revision>
  <dcterms:created xsi:type="dcterms:W3CDTF">2022-12-26T11:27:14Z</dcterms:created>
  <dcterms:modified xsi:type="dcterms:W3CDTF">2026-06-28T23:30:48Z</dcterms:modified>
  <cp:category/>
  <cp:contentStatus/>
</cp:coreProperties>
</file>